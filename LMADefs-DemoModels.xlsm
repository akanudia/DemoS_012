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45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VEDA\Veda\Veda_models\Demo_models\DemoS_012\"/>
    </mc:Choice>
  </mc:AlternateContent>
  <xr:revisionPtr revIDLastSave="0" documentId="13_ncr:40009_{77D5E4F5-D449-4A7C-8092-2D63A4F70A38}" xr6:coauthVersionLast="47" xr6:coauthVersionMax="47" xr10:uidLastSave="{00000000-0000-0000-0000-000000000000}"/>
  <bookViews>
    <workbookView xWindow="-120" yWindow="-120" windowWidth="29040" windowHeight="17640" activeTab="3"/>
  </bookViews>
  <sheets>
    <sheet name="ScenMap" sheetId="56" r:id="rId1"/>
    <sheet name="TS_Defs" sheetId="27" r:id="rId2"/>
    <sheet name="PSet_MAP coarse" sheetId="57" r:id="rId3"/>
    <sheet name="CName_MAP" sheetId="58" r:id="rId4"/>
    <sheet name="process map" sheetId="49" r:id="rId5"/>
    <sheet name="commodity map" sheetId="66" r:id="rId6"/>
    <sheet name="varbl map" sheetId="64" r:id="rId7"/>
    <sheet name="ts map" sheetId="65" r:id="rId8"/>
    <sheet name="ATS" sheetId="63" r:id="rId9"/>
    <sheet name="UnitConv" sheetId="59" r:id="rId10"/>
  </sheets>
  <functionGroups builtInGroupCount="19"/>
  <definedNames>
    <definedName name="_xlnm._FilterDatabase" localSheetId="1" hidden="1">TS_Defs!$B$2:$P$2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4" i="27" l="1"/>
  <c r="E3" i="27"/>
  <c r="F6" i="57"/>
  <c r="F7" i="57" s="1"/>
  <c r="F8" i="57" s="1"/>
  <c r="F9" i="57" s="1"/>
  <c r="F10" i="57" s="1"/>
  <c r="F11" i="57" s="1"/>
  <c r="F12" i="57" s="1"/>
  <c r="F13" i="57" s="1"/>
  <c r="F14" i="57" s="1"/>
  <c r="F15" i="57" s="1"/>
  <c r="F16" i="57" s="1"/>
  <c r="K4" i="27"/>
  <c r="K3" i="27"/>
  <c r="F40" i="58"/>
  <c r="F41" i="58" s="1"/>
  <c r="F42" i="58" s="1"/>
  <c r="F43" i="58" s="1"/>
  <c r="F44" i="58" s="1"/>
  <c r="F45" i="58" s="1"/>
  <c r="F46" i="58" s="1"/>
  <c r="F47" i="58" s="1"/>
  <c r="F48" i="58" s="1"/>
  <c r="F49" i="58" s="1"/>
  <c r="F50" i="58" s="1"/>
  <c r="F51" i="58" s="1"/>
  <c r="F52" i="58" s="1"/>
  <c r="F53" i="58" s="1"/>
  <c r="F54" i="58" s="1"/>
  <c r="F55" i="58" s="1"/>
  <c r="F56" i="58" s="1"/>
  <c r="F57" i="58" s="1"/>
  <c r="F58" i="58" s="1"/>
  <c r="C40" i="58"/>
  <c r="C41" i="58"/>
  <c r="C42" i="58"/>
  <c r="C43" i="58"/>
  <c r="C44" i="58"/>
  <c r="C45" i="58"/>
  <c r="C46" i="58"/>
  <c r="C47" i="58"/>
  <c r="C48" i="58"/>
  <c r="C49" i="58"/>
  <c r="C50" i="58"/>
  <c r="C51" i="58"/>
  <c r="C52" i="58"/>
  <c r="C53" i="58"/>
  <c r="C54" i="58"/>
  <c r="C55" i="58"/>
  <c r="C56" i="58"/>
  <c r="C57" i="58"/>
  <c r="C58" i="58"/>
  <c r="B12" i="66"/>
  <c r="B26" i="66"/>
  <c r="B30" i="66"/>
  <c r="B29" i="66"/>
  <c r="C14" i="66"/>
  <c r="B14" i="66"/>
  <c r="B28" i="66"/>
  <c r="C13" i="66"/>
  <c r="B13" i="66"/>
  <c r="B27" i="66"/>
  <c r="C12" i="66"/>
  <c r="C11" i="66"/>
  <c r="B11" i="66"/>
  <c r="B25" i="66"/>
  <c r="C10" i="66"/>
  <c r="B10" i="66"/>
  <c r="B24" i="66"/>
  <c r="C9" i="66"/>
  <c r="B9" i="66"/>
  <c r="B23" i="66"/>
  <c r="C8" i="66"/>
  <c r="B8" i="66"/>
  <c r="B22" i="66"/>
  <c r="C7" i="66"/>
  <c r="B7" i="66"/>
  <c r="B21" i="66"/>
  <c r="C6" i="66"/>
  <c r="B6" i="66"/>
  <c r="B20" i="66"/>
  <c r="C5" i="66"/>
  <c r="B5" i="66"/>
  <c r="B19" i="66"/>
  <c r="C4" i="66"/>
  <c r="B4" i="66"/>
  <c r="B18" i="66"/>
  <c r="C3" i="66"/>
  <c r="B3" i="66"/>
  <c r="B17" i="66"/>
  <c r="C21" i="58"/>
  <c r="C17" i="57"/>
  <c r="C11" i="57"/>
  <c r="C12" i="57"/>
  <c r="C13" i="57"/>
  <c r="C14" i="57"/>
  <c r="C15" i="57"/>
  <c r="C16" i="57"/>
  <c r="C18" i="57"/>
  <c r="C19" i="57"/>
  <c r="C20" i="57"/>
  <c r="C21" i="57"/>
  <c r="C10" i="57"/>
  <c r="C9" i="57"/>
  <c r="F3" i="58"/>
  <c r="F4" i="58"/>
  <c r="F5" i="58" s="1"/>
  <c r="F6" i="58" s="1"/>
  <c r="F7" i="58" s="1"/>
  <c r="F8" i="58" s="1"/>
  <c r="F9" i="58" s="1"/>
  <c r="F10" i="58" s="1"/>
  <c r="F11" i="58" s="1"/>
  <c r="F12" i="58" s="1"/>
  <c r="F13" i="58" s="1"/>
  <c r="F14" i="58" s="1"/>
  <c r="F15" i="58" s="1"/>
  <c r="F16" i="58" s="1"/>
  <c r="F17" i="58" s="1"/>
  <c r="F18" i="58" s="1"/>
  <c r="F19" i="58" s="1"/>
  <c r="F20" i="58" s="1"/>
  <c r="F21" i="58" s="1"/>
  <c r="F22" i="58" s="1"/>
  <c r="F23" i="58" s="1"/>
  <c r="F24" i="58" s="1"/>
  <c r="F25" i="58" s="1"/>
  <c r="F26" i="58" s="1"/>
  <c r="F27" i="58" s="1"/>
  <c r="F28" i="58" s="1"/>
  <c r="F29" i="58" s="1"/>
  <c r="F30" i="58" s="1"/>
  <c r="F31" i="58" s="1"/>
  <c r="F32" i="58" s="1"/>
  <c r="F33" i="58" s="1"/>
  <c r="F34" i="58" s="1"/>
  <c r="F35" i="58" s="1"/>
  <c r="F36" i="58" s="1"/>
  <c r="F37" i="58" s="1"/>
  <c r="F38" i="58" s="1"/>
  <c r="F39" i="58" s="1"/>
  <c r="C4" i="58"/>
  <c r="C5" i="58"/>
  <c r="C6" i="58"/>
  <c r="C7" i="58"/>
  <c r="C8" i="58"/>
  <c r="C9" i="58"/>
  <c r="C10" i="58"/>
  <c r="C11" i="58"/>
  <c r="C12" i="58"/>
  <c r="C13" i="58"/>
  <c r="C14" i="58"/>
  <c r="C15" i="58"/>
  <c r="C16" i="58"/>
  <c r="C17" i="58"/>
  <c r="C18" i="58"/>
  <c r="C19" i="58"/>
  <c r="C20" i="58"/>
  <c r="C22" i="58"/>
  <c r="C23" i="58"/>
  <c r="C24" i="58"/>
  <c r="C25" i="58"/>
  <c r="C26" i="58"/>
  <c r="C27" i="58"/>
  <c r="C28" i="58"/>
  <c r="C29" i="58"/>
  <c r="C30" i="58"/>
  <c r="C31" i="58"/>
  <c r="C32" i="58"/>
  <c r="C33" i="58"/>
  <c r="C34" i="58"/>
  <c r="C35" i="58"/>
  <c r="C36" i="58"/>
  <c r="C37" i="58"/>
  <c r="C38" i="58"/>
  <c r="C39" i="58"/>
  <c r="C3" i="58"/>
  <c r="C18" i="64"/>
  <c r="D7" i="59"/>
  <c r="C7" i="57"/>
  <c r="B4" i="27"/>
  <c r="D5" i="59"/>
  <c r="C16" i="65"/>
  <c r="C17" i="65"/>
  <c r="C18" i="65"/>
  <c r="C19" i="65"/>
  <c r="C20" i="65"/>
  <c r="C21" i="65"/>
  <c r="C22" i="65"/>
  <c r="C23" i="65"/>
  <c r="C24" i="65"/>
  <c r="C25" i="65"/>
  <c r="C26" i="65"/>
  <c r="C27" i="65"/>
  <c r="C28" i="65"/>
  <c r="C29" i="65"/>
  <c r="C30" i="65"/>
  <c r="C31" i="65"/>
  <c r="C32" i="65"/>
  <c r="C33" i="65"/>
  <c r="C34" i="65"/>
  <c r="C35" i="65"/>
  <c r="C36" i="65"/>
  <c r="C37" i="65"/>
  <c r="C38" i="65"/>
  <c r="C15" i="65"/>
  <c r="C4" i="65"/>
  <c r="C5" i="65"/>
  <c r="C6" i="65"/>
  <c r="C7" i="65"/>
  <c r="C8" i="65"/>
  <c r="C9" i="65"/>
  <c r="C10" i="65"/>
  <c r="C11" i="65"/>
  <c r="C12" i="65"/>
  <c r="C13" i="65"/>
  <c r="C14" i="65"/>
  <c r="C3" i="65"/>
  <c r="C27" i="64"/>
  <c r="C19" i="64"/>
  <c r="C6" i="57"/>
  <c r="D3" i="59"/>
  <c r="F3" i="57"/>
  <c r="F4" i="57" s="1"/>
  <c r="F5" i="57" s="1"/>
  <c r="C4" i="57"/>
  <c r="C5" i="57"/>
  <c r="C3" i="57"/>
  <c r="F17" i="57" l="1"/>
  <c r="F18" i="57" s="1"/>
  <c r="F19" i="57" s="1"/>
  <c r="F20" i="57" s="1"/>
  <c r="F21" i="57" s="1"/>
</calcChain>
</file>

<file path=xl/comments1.xml><?xml version="1.0" encoding="utf-8"?>
<comments xmlns="http://schemas.openxmlformats.org/spreadsheetml/2006/main">
  <authors>
    <author>Amit</author>
    <author>Amit Kanudia</author>
  </authors>
  <commentList>
    <comment ref="A2" authorId="0" shapeId="0">
      <text>
        <r>
          <rPr>
            <b/>
            <sz val="9"/>
            <color indexed="81"/>
            <rFont val="Tahoma"/>
            <family val="2"/>
          </rPr>
          <t>Amit:</t>
        </r>
        <r>
          <rPr>
            <sz val="9"/>
            <color indexed="81"/>
            <rFont val="Tahoma"/>
            <family val="2"/>
          </rPr>
          <t xml:space="preserve">
31-05-2012
Flag to trigger process level reporting for GIS</t>
        </r>
      </text>
    </comment>
    <comment ref="B2" authorId="1" shapeId="0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i/>
            <sz val="8"/>
            <color indexed="81"/>
            <rFont val="Tahoma"/>
            <family val="2"/>
          </rPr>
          <t>Types:</t>
        </r>
        <r>
          <rPr>
            <sz val="8"/>
            <color indexed="81"/>
            <rFont val="Tahoma"/>
            <family val="2"/>
          </rPr>
          <t xml:space="preserve">
1: PSet
2: CName
3: Pset,Cname
4: PSet, Cset
</t>
        </r>
      </text>
    </comment>
    <comment ref="D2" authorId="1" shapeId="0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3/20/2013
to use as weight for aggregating over commodities or TS (or process?)
</t>
        </r>
      </text>
    </comment>
    <comment ref="E2" authorId="1" shapeId="0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6/4/2011
These sets should not have common elements</t>
        </r>
      </text>
    </comment>
  </commentList>
</comments>
</file>

<file path=xl/sharedStrings.xml><?xml version="1.0" encoding="utf-8"?>
<sst xmlns="http://schemas.openxmlformats.org/spreadsheetml/2006/main" count="517" uniqueCount="312">
  <si>
    <t>Unit</t>
  </si>
  <si>
    <t>Desc</t>
  </si>
  <si>
    <t>Name</t>
  </si>
  <si>
    <t>Varbl</t>
  </si>
  <si>
    <t>TS</t>
  </si>
  <si>
    <t>Scen</t>
  </si>
  <si>
    <t>Ldesc</t>
  </si>
  <si>
    <t>ProcOrd</t>
  </si>
  <si>
    <t>Attribute</t>
  </si>
  <si>
    <t>PSET_Set</t>
  </si>
  <si>
    <t>PSET_PN</t>
  </si>
  <si>
    <t>CSET_Set</t>
  </si>
  <si>
    <t>CSET_CN</t>
  </si>
  <si>
    <t>CSET_CD</t>
  </si>
  <si>
    <t>PSET_PD</t>
  </si>
  <si>
    <t>PSET_CI</t>
  </si>
  <si>
    <t>PSET_CO</t>
  </si>
  <si>
    <t>Oname</t>
  </si>
  <si>
    <t>~TS_Defs</t>
  </si>
  <si>
    <t>WAttribute</t>
  </si>
  <si>
    <t>IgnoreForRegAgg</t>
  </si>
  <si>
    <t>UC_N</t>
  </si>
  <si>
    <t>~Pset_Map</t>
  </si>
  <si>
    <t>Pset</t>
  </si>
  <si>
    <t>VAR_FIN</t>
  </si>
  <si>
    <t>~CName_Map</t>
  </si>
  <si>
    <t>CName</t>
  </si>
  <si>
    <t>~UnitConv</t>
  </si>
  <si>
    <t>Model</t>
  </si>
  <si>
    <t>Unit1</t>
  </si>
  <si>
    <t>Unit2</t>
  </si>
  <si>
    <t>MultFact</t>
  </si>
  <si>
    <t>~ATS</t>
  </si>
  <si>
    <t>Region</t>
  </si>
  <si>
    <t>Year</t>
  </si>
  <si>
    <t>Val</t>
  </si>
  <si>
    <t>~ScenMap</t>
  </si>
  <si>
    <t>~ScenG</t>
  </si>
  <si>
    <t>Final Energy</t>
  </si>
  <si>
    <t>~process_map</t>
  </si>
  <si>
    <t>dimension</t>
  </si>
  <si>
    <t>name</t>
  </si>
  <si>
    <t>description</t>
  </si>
  <si>
    <t>show_me</t>
  </si>
  <si>
    <t>discard</t>
  </si>
  <si>
    <t>Industry</t>
  </si>
  <si>
    <t>Biomass</t>
  </si>
  <si>
    <t>Coal</t>
  </si>
  <si>
    <t>Oil</t>
  </si>
  <si>
    <t>Gas</t>
  </si>
  <si>
    <t>Hydro</t>
  </si>
  <si>
    <t>Other</t>
  </si>
  <si>
    <t>Small Hydro</t>
  </si>
  <si>
    <t>Solar</t>
  </si>
  <si>
    <t>VAR_FOUT</t>
  </si>
  <si>
    <t>GW</t>
  </si>
  <si>
    <t>PJ</t>
  </si>
  <si>
    <t>kt CO2</t>
  </si>
  <si>
    <t>Power</t>
  </si>
  <si>
    <t>CO2 emissions</t>
  </si>
  <si>
    <t>Twh2gw</t>
  </si>
  <si>
    <t>Twh</t>
  </si>
  <si>
    <t>Wind</t>
  </si>
  <si>
    <t>Storage</t>
  </si>
  <si>
    <t>LCOE</t>
  </si>
  <si>
    <t>p</t>
  </si>
  <si>
    <t>tech</t>
  </si>
  <si>
    <t>~varbl_map</t>
  </si>
  <si>
    <t>attribute</t>
  </si>
  <si>
    <t>EProd_</t>
  </si>
  <si>
    <t>ECap_</t>
  </si>
  <si>
    <t>ECost-Inv_</t>
  </si>
  <si>
    <t>ECost-Var_</t>
  </si>
  <si>
    <t>ECost-Fix_</t>
  </si>
  <si>
    <t>EFuel_</t>
  </si>
  <si>
    <t>Emi_ElcCO2_</t>
  </si>
  <si>
    <t>Power_</t>
  </si>
  <si>
    <t>Elec gen</t>
  </si>
  <si>
    <t>Elec cap</t>
  </si>
  <si>
    <t>Elec Costs</t>
  </si>
  <si>
    <t>Elec fuels</t>
  </si>
  <si>
    <t>Emissions</t>
  </si>
  <si>
    <t>Cost_type</t>
  </si>
  <si>
    <t>Investment</t>
  </si>
  <si>
    <t>Variable</t>
  </si>
  <si>
    <t>Fixed</t>
  </si>
  <si>
    <t>ECost-</t>
  </si>
  <si>
    <t>ECost-Fuel_</t>
  </si>
  <si>
    <t>Fuel</t>
  </si>
  <si>
    <t>m$/bvkm</t>
  </si>
  <si>
    <t>c/km</t>
  </si>
  <si>
    <t>~timeslice_map</t>
  </si>
  <si>
    <t>month</t>
  </si>
  <si>
    <t>hour</t>
  </si>
  <si>
    <t>m01*</t>
  </si>
  <si>
    <t>m02*</t>
  </si>
  <si>
    <t>m03*</t>
  </si>
  <si>
    <t>m04*</t>
  </si>
  <si>
    <t>m05*</t>
  </si>
  <si>
    <t>m06*</t>
  </si>
  <si>
    <t>m07*</t>
  </si>
  <si>
    <t>m08*</t>
  </si>
  <si>
    <t>m09*</t>
  </si>
  <si>
    <t>m10*</t>
  </si>
  <si>
    <t>m11*</t>
  </si>
  <si>
    <t>m12*</t>
  </si>
  <si>
    <t>*h01</t>
  </si>
  <si>
    <t>*h02</t>
  </si>
  <si>
    <t>*h03</t>
  </si>
  <si>
    <t>*h04</t>
  </si>
  <si>
    <t>*h05</t>
  </si>
  <si>
    <t>*h06</t>
  </si>
  <si>
    <t>*h07</t>
  </si>
  <si>
    <t>*h08</t>
  </si>
  <si>
    <t>*h09</t>
  </si>
  <si>
    <t>*h10</t>
  </si>
  <si>
    <t>*h11</t>
  </si>
  <si>
    <t>*h12</t>
  </si>
  <si>
    <t>*h13</t>
  </si>
  <si>
    <t>*h14</t>
  </si>
  <si>
    <t>*h15</t>
  </si>
  <si>
    <t>*h16</t>
  </si>
  <si>
    <t>*h17</t>
  </si>
  <si>
    <t>*h18</t>
  </si>
  <si>
    <t>*h19</t>
  </si>
  <si>
    <t>*h20</t>
  </si>
  <si>
    <t>*h21</t>
  </si>
  <si>
    <t>*h22</t>
  </si>
  <si>
    <t>*h23</t>
  </si>
  <si>
    <t>*h24</t>
  </si>
  <si>
    <t>Gas-CC</t>
  </si>
  <si>
    <t>Gas-CT</t>
  </si>
  <si>
    <t>Twh2gw_stgchg</t>
  </si>
  <si>
    <t>Storage-chrg</t>
  </si>
  <si>
    <t>Twh_stgchg</t>
  </si>
  <si>
    <t>Interconnectors</t>
  </si>
  <si>
    <t>Twh2gw_curt</t>
  </si>
  <si>
    <t>_curt</t>
  </si>
  <si>
    <t>Curtailment</t>
  </si>
  <si>
    <t>PH</t>
  </si>
  <si>
    <t>gassensi</t>
  </si>
  <si>
    <t>kt CO2neg</t>
  </si>
  <si>
    <t>mt</t>
  </si>
  <si>
    <t>Hydrogen</t>
  </si>
  <si>
    <t>Biodiesel</t>
  </si>
  <si>
    <t>Biofuel</t>
  </si>
  <si>
    <t>COMELC</t>
  </si>
  <si>
    <t>Electricity</t>
  </si>
  <si>
    <t>Diesel</t>
  </si>
  <si>
    <t>ELC</t>
  </si>
  <si>
    <t>ELCBIO</t>
  </si>
  <si>
    <t>ELCCOA</t>
  </si>
  <si>
    <t>ELCGAS</t>
  </si>
  <si>
    <t>Natural Gas</t>
  </si>
  <si>
    <t>ELCHH2</t>
  </si>
  <si>
    <t>ELCHYD</t>
  </si>
  <si>
    <t>ELCOIL</t>
  </si>
  <si>
    <t>ELCSOL</t>
  </si>
  <si>
    <t>Fuel Oil</t>
  </si>
  <si>
    <t>INDBDL</t>
  </si>
  <si>
    <t>INDCOA</t>
  </si>
  <si>
    <t>INDDSL</t>
  </si>
  <si>
    <t>INDELC</t>
  </si>
  <si>
    <t>INDETH</t>
  </si>
  <si>
    <t>INDGAS</t>
  </si>
  <si>
    <t>INDGSL</t>
  </si>
  <si>
    <t>INDLPG</t>
  </si>
  <si>
    <t>LPG</t>
  </si>
  <si>
    <t>INDOIL</t>
  </si>
  <si>
    <t>Jet Fuel</t>
  </si>
  <si>
    <t>Kerosene</t>
  </si>
  <si>
    <t>Petrol</t>
  </si>
  <si>
    <t>&lt;cname&gt;_src_&lt;pset&gt;</t>
  </si>
  <si>
    <t>tpc</t>
  </si>
  <si>
    <t>&lt;cname&gt;_snk_&lt;pset&gt;</t>
  </si>
  <si>
    <t>ELCWIN</t>
  </si>
  <si>
    <t>~commodity_map</t>
  </si>
  <si>
    <t>fuel</t>
  </si>
  <si>
    <t>Renewable</t>
  </si>
  <si>
    <t>fuel_agg</t>
  </si>
  <si>
    <t>Bioenergy</t>
  </si>
  <si>
    <t>???BIO,Biomass</t>
  </si>
  <si>
    <t>???SOL,???HYD,???WIN,???GEO</t>
  </si>
  <si>
    <t>*bio*</t>
  </si>
  <si>
    <t>*coal*</t>
  </si>
  <si>
    <t>*Hydrogen*,*H2*</t>
  </si>
  <si>
    <t>sg_Policy</t>
  </si>
  <si>
    <t>sg_Gas Price</t>
  </si>
  <si>
    <t>g</t>
  </si>
  <si>
    <t>c</t>
  </si>
  <si>
    <t>sg_Coal Retirement</t>
  </si>
  <si>
    <t>Wind,Solar</t>
  </si>
  <si>
    <t>Wind/Solar</t>
  </si>
  <si>
    <t>tech_agg</t>
  </si>
  <si>
    <t>AGRBIO</t>
  </si>
  <si>
    <t>Agri Biomass</t>
  </si>
  <si>
    <t>AGRCOA</t>
  </si>
  <si>
    <t>Agri Coal</t>
  </si>
  <si>
    <t>AGRELC</t>
  </si>
  <si>
    <t>Agri Electricity</t>
  </si>
  <si>
    <t>AGRGAS</t>
  </si>
  <si>
    <t>Agri Natural Gas</t>
  </si>
  <si>
    <t>AGROIL</t>
  </si>
  <si>
    <t>Agri Oil</t>
  </si>
  <si>
    <t>BIO</t>
  </si>
  <si>
    <t>COA</t>
  </si>
  <si>
    <t>COMBIO</t>
  </si>
  <si>
    <t>Comm Biomass</t>
  </si>
  <si>
    <t>COMCOA</t>
  </si>
  <si>
    <t>Comm Coal</t>
  </si>
  <si>
    <t>Comm Electricity</t>
  </si>
  <si>
    <t>COMGAS</t>
  </si>
  <si>
    <t>Comm Natural Gas</t>
  </si>
  <si>
    <t>COMOIL</t>
  </si>
  <si>
    <t>Comm Oil</t>
  </si>
  <si>
    <t>COMSOL</t>
  </si>
  <si>
    <t>DSL</t>
  </si>
  <si>
    <t>Diesel oil</t>
  </si>
  <si>
    <t>Elec Biomass</t>
  </si>
  <si>
    <t>Elec Coal</t>
  </si>
  <si>
    <t>Elec Natural Gas</t>
  </si>
  <si>
    <t>Elec Hydro power</t>
  </si>
  <si>
    <t>ELCNUC</t>
  </si>
  <si>
    <t>Elec oil</t>
  </si>
  <si>
    <t>GAS</t>
  </si>
  <si>
    <t>GSL</t>
  </si>
  <si>
    <t>Motor spirit</t>
  </si>
  <si>
    <t>HET</t>
  </si>
  <si>
    <t>Heat from CHP</t>
  </si>
  <si>
    <t>HFO</t>
  </si>
  <si>
    <t>Heavy Fuel Oil</t>
  </si>
  <si>
    <t>HYD</t>
  </si>
  <si>
    <t>Hydro power</t>
  </si>
  <si>
    <t>INDBIO</t>
  </si>
  <si>
    <t>Ind Biomass</t>
  </si>
  <si>
    <t>Ind Coal</t>
  </si>
  <si>
    <t>Ind Electricity</t>
  </si>
  <si>
    <t>Ind Natural Gas</t>
  </si>
  <si>
    <t>Ind Crude oil</t>
  </si>
  <si>
    <t>INDOXY</t>
  </si>
  <si>
    <t>Industrial Oxygen</t>
  </si>
  <si>
    <t>KER</t>
  </si>
  <si>
    <t>Kerosenes</t>
  </si>
  <si>
    <t>NAP</t>
  </si>
  <si>
    <t>Naphtha</t>
  </si>
  <si>
    <t>NUC</t>
  </si>
  <si>
    <t>OIL</t>
  </si>
  <si>
    <t>Crude Oil</t>
  </si>
  <si>
    <t>OPP</t>
  </si>
  <si>
    <t>RSDBIO</t>
  </si>
  <si>
    <t>Resi Biomass</t>
  </si>
  <si>
    <t>RSDCOA</t>
  </si>
  <si>
    <t>Resi Coal</t>
  </si>
  <si>
    <t>RSDELC</t>
  </si>
  <si>
    <t>Resi Electricity</t>
  </si>
  <si>
    <t>RSDGAS</t>
  </si>
  <si>
    <t>Resi Natural Gas</t>
  </si>
  <si>
    <t>RSDHET</t>
  </si>
  <si>
    <t>RSDOIL</t>
  </si>
  <si>
    <t>Resi Oil</t>
  </si>
  <si>
    <t>RSDSOL</t>
  </si>
  <si>
    <t>SOL</t>
  </si>
  <si>
    <t>TRABIO</t>
  </si>
  <si>
    <t>Tra Biofuels</t>
  </si>
  <si>
    <t>TRADSL</t>
  </si>
  <si>
    <t>Tra Diesel oil</t>
  </si>
  <si>
    <t>TRAELC</t>
  </si>
  <si>
    <t>Tra Electricity</t>
  </si>
  <si>
    <t>TRAGAS</t>
  </si>
  <si>
    <t>Tra Natural Gas</t>
  </si>
  <si>
    <t>TRAGSL</t>
  </si>
  <si>
    <t>Tra Motor spirit</t>
  </si>
  <si>
    <t>TRALPG</t>
  </si>
  <si>
    <t>Tra LPG</t>
  </si>
  <si>
    <t>WIN</t>
  </si>
  <si>
    <t>oth Pet Prod</t>
  </si>
  <si>
    <t>Resi heat</t>
  </si>
  <si>
    <t>Resi Solar</t>
  </si>
  <si>
    <t>Comm Solar</t>
  </si>
  <si>
    <t>Elec Nuclear</t>
  </si>
  <si>
    <t>Elec Solar</t>
  </si>
  <si>
    <t>Elec Wind</t>
  </si>
  <si>
    <t>Nuclear</t>
  </si>
  <si>
    <t>Pjneg</t>
  </si>
  <si>
    <t>IMP</t>
  </si>
  <si>
    <t>Imports</t>
  </si>
  <si>
    <t>MIN</t>
  </si>
  <si>
    <t>Domestic Production</t>
  </si>
  <si>
    <t>EXP</t>
  </si>
  <si>
    <t>Exports</t>
  </si>
  <si>
    <t>Nuclear Power Plants</t>
  </si>
  <si>
    <t>Renewable Power Plants</t>
  </si>
  <si>
    <t>FUELTECH</t>
  </si>
  <si>
    <t>Fuel Technologies</t>
  </si>
  <si>
    <t>PP_FOSSIL</t>
  </si>
  <si>
    <t>Fossil Power Plants</t>
  </si>
  <si>
    <t>PP_NUCLEAR</t>
  </si>
  <si>
    <t>PP_OTHER</t>
  </si>
  <si>
    <t>Other Power Plants</t>
  </si>
  <si>
    <t>PP_RENEW</t>
  </si>
  <si>
    <t>Agri</t>
  </si>
  <si>
    <t>Comm Appl</t>
  </si>
  <si>
    <t>Comm Other</t>
  </si>
  <si>
    <t>Comm SpHt</t>
  </si>
  <si>
    <t>Iron_Steel</t>
  </si>
  <si>
    <t>Resi Appl</t>
  </si>
  <si>
    <t>Resi Other</t>
  </si>
  <si>
    <t>Resi Spht</t>
  </si>
  <si>
    <t>Tra Cars</t>
  </si>
  <si>
    <t>Tra Public</t>
  </si>
  <si>
    <t>Demo</t>
  </si>
  <si>
    <t>PJneg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</si>
</sst>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88" formatCode="m\o\n\th\ d\,\ yyyy"/>
    <numFmt numFmtId="189" formatCode="#.00"/>
    <numFmt numFmtId="190" formatCode="#."/>
  </numFmts>
  <fonts count="19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sz val="10"/>
      <name val="Arial"/>
      <family val="2"/>
    </font>
    <font>
      <sz val="1"/>
      <color indexed="8"/>
      <name val="Courier"/>
      <family val="3"/>
    </font>
    <font>
      <b/>
      <sz val="1"/>
      <color indexed="8"/>
      <name val="Courier"/>
      <family val="3"/>
    </font>
    <font>
      <sz val="10"/>
      <name val="STKFLOW - 14 of 38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name val="MS Sans Serif"/>
    </font>
    <font>
      <sz val="10"/>
      <name val="Arial"/>
      <family val="2"/>
    </font>
    <font>
      <sz val="10"/>
      <name val="Verdana"/>
      <family val="2"/>
    </font>
    <font>
      <sz val="8"/>
      <name val="Calibri"/>
      <family val="2"/>
    </font>
    <font>
      <sz val="11"/>
      <color theme="1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8">
    <xf numFmtId="0" fontId="0" fillId="0" borderId="0"/>
    <xf numFmtId="188" fontId="7" fillId="0" borderId="0">
      <protection locked="0"/>
    </xf>
    <xf numFmtId="189" fontId="7" fillId="0" borderId="0">
      <protection locked="0"/>
    </xf>
    <xf numFmtId="190" fontId="8" fillId="0" borderId="0">
      <protection locked="0"/>
    </xf>
    <xf numFmtId="190" fontId="8" fillId="0" borderId="0">
      <protection locked="0"/>
    </xf>
    <xf numFmtId="0" fontId="17" fillId="2" borderId="0" applyNumberFormat="0" applyBorder="0" applyAlignment="0" applyProtection="0"/>
    <xf numFmtId="0" fontId="2" fillId="0" borderId="0"/>
    <xf numFmtId="0" fontId="6" fillId="0" borderId="0"/>
    <xf numFmtId="0" fontId="16" fillId="0" borderId="0"/>
    <xf numFmtId="0" fontId="2" fillId="0" borderId="0"/>
    <xf numFmtId="0" fontId="13" fillId="0" borderId="0"/>
    <xf numFmtId="0" fontId="9" fillId="0" borderId="0"/>
    <xf numFmtId="0" fontId="2" fillId="0" borderId="0"/>
    <xf numFmtId="0" fontId="14" fillId="0" borderId="0"/>
    <xf numFmtId="0" fontId="12" fillId="0" borderId="0"/>
    <xf numFmtId="0" fontId="1" fillId="0" borderId="0"/>
    <xf numFmtId="9" fontId="1" fillId="0" borderId="0" applyFont="0" applyFill="0" applyBorder="0" applyAlignment="0" applyProtection="0"/>
    <xf numFmtId="0" fontId="2" fillId="0" borderId="0"/>
  </cellStyleXfs>
  <cellXfs count="7">
    <xf numFmtId="0" fontId="0" fillId="0" borderId="0" xfId="0"/>
    <xf numFmtId="0" fontId="18" fillId="3" borderId="0" xfId="0" applyFont="1" applyFill="1"/>
    <xf numFmtId="0" fontId="0" fillId="0" borderId="0" xfId="0"/>
    <xf numFmtId="0" fontId="0" fillId="0" borderId="0" xfId="0"/>
    <xf numFmtId="0" fontId="0" fillId="0" borderId="0" xfId="0" quotePrefix="1"/>
    <xf numFmtId="0" fontId="0" fillId="0" borderId="0" xfId="0"/>
    <xf numFmtId="0" fontId="17" fillId="2" borderId="0" xfId="5"/>
  </cellXfs>
  <cellStyles count="18">
    <cellStyle name="Date" xfId="1"/>
    <cellStyle name="Fixed" xfId="2"/>
    <cellStyle name="Heading1" xfId="3"/>
    <cellStyle name="Heading2" xfId="4"/>
    <cellStyle name="Neutral" xfId="5" builtinId="28"/>
    <cellStyle name="Normal" xfId="0" builtinId="0"/>
    <cellStyle name="Normal 10" xfId="6"/>
    <cellStyle name="Normal 2" xfId="7"/>
    <cellStyle name="Normal 2 2" xfId="8"/>
    <cellStyle name="Normal 2 3" xfId="9"/>
    <cellStyle name="Normal 2 4" xfId="10"/>
    <cellStyle name="Normal 3" xfId="11"/>
    <cellStyle name="Normal 3 2" xfId="12"/>
    <cellStyle name="Normal 3 3" xfId="13"/>
    <cellStyle name="Normal 4" xfId="14"/>
    <cellStyle name="Normale_Scen_UC_IND-StrucConst" xfId="15"/>
    <cellStyle name="Percent 2" xfId="16"/>
    <cellStyle name="Standard_Sce_D_Extraction" xfId="17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L5"/>
  <sheetViews>
    <sheetView zoomScaleNormal="100" workbookViewId="0">
      <selection activeCell="B6" sqref="B6:B135"/>
    </sheetView>
  </sheetViews>
  <sheetFormatPr defaultRowHeight="15"/>
  <cols>
    <col min="1" max="1" width="10" style="5" bestFit="1" customWidth="1"/>
    <col min="2" max="2" width="13.5703125" style="5" bestFit="1" customWidth="1"/>
    <col min="3" max="5" width="24.85546875" style="5" bestFit="1" customWidth="1"/>
    <col min="6" max="6" width="9.140625" style="5"/>
    <col min="7" max="7" width="20.28515625" style="5" bestFit="1" customWidth="1"/>
    <col min="8" max="8" width="34" style="5" bestFit="1" customWidth="1"/>
    <col min="9" max="9" width="34" style="5" customWidth="1"/>
    <col min="10" max="10" width="11.42578125" style="5" bestFit="1" customWidth="1"/>
    <col min="11" max="11" width="19.140625" style="5" customWidth="1"/>
    <col min="12" max="16384" width="9.140625" style="5"/>
  </cols>
  <sheetData>
    <row r="1" spans="1:12">
      <c r="B1" s="5" t="s">
        <v>139</v>
      </c>
    </row>
    <row r="2" spans="1:12">
      <c r="B2" s="5" t="s">
        <v>140</v>
      </c>
      <c r="J2" s="5" t="s">
        <v>65</v>
      </c>
      <c r="K2" s="5" t="s">
        <v>188</v>
      </c>
      <c r="L2" s="5" t="s">
        <v>189</v>
      </c>
    </row>
    <row r="4" spans="1:12">
      <c r="A4" s="5" t="s">
        <v>36</v>
      </c>
      <c r="H4" s="5" t="s">
        <v>37</v>
      </c>
    </row>
    <row r="5" spans="1:12">
      <c r="A5" s="5" t="s">
        <v>7</v>
      </c>
      <c r="B5" s="5" t="s">
        <v>17</v>
      </c>
      <c r="C5" s="5" t="s">
        <v>2</v>
      </c>
      <c r="D5" s="5" t="s">
        <v>1</v>
      </c>
      <c r="E5" s="5" t="s">
        <v>6</v>
      </c>
      <c r="H5" s="5" t="s">
        <v>5</v>
      </c>
      <c r="J5" s="5" t="s">
        <v>186</v>
      </c>
      <c r="K5" s="5" t="s">
        <v>187</v>
      </c>
      <c r="L5" s="5" t="s">
        <v>190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/>
  <dimension ref="A1:AC4"/>
  <sheetViews>
    <sheetView zoomScaleNormal="100" workbookViewId="0">
      <pane ySplit="2" topLeftCell="A3" activePane="bottomLeft" state="frozen"/>
      <selection pane="bottomLeft" activeCell="B4" sqref="B4"/>
    </sheetView>
  </sheetViews>
  <sheetFormatPr defaultRowHeight="15"/>
  <cols>
    <col min="1" max="1" width="9.140625" style="3"/>
    <col min="2" max="2" width="6" style="2" bestFit="1" customWidth="1"/>
    <col min="3" max="3" width="13.85546875" style="2" bestFit="1" customWidth="1"/>
    <col min="4" max="4" width="10.85546875" style="3" bestFit="1" customWidth="1"/>
    <col min="5" max="6" width="16.85546875" style="2" bestFit="1" customWidth="1"/>
    <col min="7" max="7" width="8.5703125" style="3" bestFit="1" customWidth="1"/>
    <col min="8" max="8" width="7.85546875" style="3" bestFit="1" customWidth="1"/>
    <col min="9" max="9" width="8.7109375" style="3" bestFit="1" customWidth="1"/>
    <col min="10" max="10" width="17.28515625" style="2" bestFit="1" customWidth="1"/>
    <col min="11" max="11" width="12.7109375" style="2" bestFit="1" customWidth="1"/>
    <col min="12" max="12" width="8.5703125" style="3" bestFit="1" customWidth="1"/>
    <col min="13" max="13" width="8.7109375" style="2" bestFit="1" customWidth="1"/>
    <col min="14" max="14" width="6.85546875" style="2" bestFit="1" customWidth="1"/>
    <col min="15" max="15" width="6" style="5" bestFit="1" customWidth="1"/>
    <col min="16" max="16" width="18.42578125" style="2" bestFit="1" customWidth="1"/>
    <col min="17" max="17" width="15.7109375" style="3" bestFit="1" customWidth="1"/>
    <col min="18" max="18" width="37.7109375" style="2" bestFit="1" customWidth="1"/>
    <col min="19" max="19" width="9.5703125" style="5" bestFit="1" customWidth="1"/>
    <col min="20" max="20" width="5.85546875" style="5" customWidth="1"/>
    <col min="21" max="21" width="2" style="2" bestFit="1" customWidth="1"/>
    <col min="22" max="23" width="9.140625" style="2"/>
    <col min="24" max="24" width="14.42578125" style="2" bestFit="1" customWidth="1"/>
    <col min="25" max="25" width="12.7109375" style="2" bestFit="1" customWidth="1"/>
    <col min="26" max="26" width="107.7109375" style="2" bestFit="1" customWidth="1"/>
    <col min="27" max="16384" width="9.140625" style="2"/>
  </cols>
  <sheetData>
    <row r="1" spans="1:29" s="3" customFormat="1">
      <c r="A1" s="3" t="s">
        <v>18</v>
      </c>
      <c r="O1" s="5"/>
      <c r="S1" s="5"/>
      <c r="T1" s="5"/>
      <c r="X1"/>
      <c r="Y1"/>
      <c r="Z1"/>
      <c r="AA1"/>
      <c r="AB1"/>
      <c r="AC1"/>
    </row>
    <row r="2" spans="1:29">
      <c r="A2" s="3" t="s">
        <v>20</v>
      </c>
      <c r="B2" s="1" t="s">
        <v>7</v>
      </c>
      <c r="C2" s="1" t="s">
        <v>8</v>
      </c>
      <c r="D2" s="1" t="s">
        <v>19</v>
      </c>
      <c r="E2" s="1" t="s">
        <v>9</v>
      </c>
      <c r="F2" s="1" t="s">
        <v>10</v>
      </c>
      <c r="G2" s="1" t="s">
        <v>14</v>
      </c>
      <c r="H2" s="1" t="s">
        <v>15</v>
      </c>
      <c r="I2" s="1" t="s">
        <v>16</v>
      </c>
      <c r="J2" s="1" t="s">
        <v>11</v>
      </c>
      <c r="K2" s="1" t="s">
        <v>12</v>
      </c>
      <c r="L2" s="1" t="s">
        <v>13</v>
      </c>
      <c r="M2" s="1" t="s">
        <v>0</v>
      </c>
      <c r="N2" s="1" t="s">
        <v>4</v>
      </c>
      <c r="O2" s="1" t="s">
        <v>21</v>
      </c>
      <c r="P2" s="1" t="s">
        <v>2</v>
      </c>
      <c r="Q2" s="1" t="s">
        <v>1</v>
      </c>
      <c r="R2" s="1" t="s">
        <v>6</v>
      </c>
      <c r="S2" s="1" t="s">
        <v>43</v>
      </c>
      <c r="T2" s="1" t="s">
        <v>44</v>
      </c>
      <c r="X2"/>
      <c r="Y2"/>
      <c r="Z2"/>
      <c r="AA2"/>
      <c r="AB2"/>
      <c r="AC2"/>
    </row>
    <row r="3" spans="1:29">
      <c r="B3" s="5">
        <v>1</v>
      </c>
      <c r="C3" s="2" t="s">
        <v>54</v>
      </c>
      <c r="E3" s="2" t="str">
        <f>'PSet_MAP coarse'!$F$21</f>
        <v>IMP,MIN,EXP,FUELTECH,PP_FOSSIL,PP_NUCLEAR,PP_OTHER,PP_RENEW,Agri,Comm Appl,Comm Other,Comm SpHt,Industry,Iron_Steel,Resi Appl,Resi Other,Resi Spht,Tra Cars,Tra Public</v>
      </c>
      <c r="K3" s="2" t="str">
        <f>CName_MAP!$F$58</f>
        <v>AGRBIO,AGRCOA,AGRELC,AGRGAS,AGROIL,BIO,COA,COMBIO,COMCOA,COMELC,COMGAS,COMOIL,COMSOL,DSL,ELC,ELCBIO,ELCCOA,ELCGAS,ELCHYD,ELCNUC,ELCOIL,ELCSOL,ELCWIN,GAS,GSL,HET,HFO,HYD,INDBIO,INDCOA,INDELC,INDGAS,INDOIL,INDOXY,KER,LPG,NAP,NUC,OIL,OPP,RSDBIO,RSDCOA,RSDELC,RSDELC,RSDGAS,RSDHET,RSDOIL,RSDSOL,SOL,TRABIO,TRADSL,TRAELC,TRAGAS,TRAGSL,TRALPG,WIN</v>
      </c>
      <c r="M3" s="2" t="s">
        <v>56</v>
      </c>
      <c r="P3" s="2" t="s">
        <v>172</v>
      </c>
      <c r="Q3" s="3" t="s">
        <v>172</v>
      </c>
      <c r="R3" s="2" t="s">
        <v>172</v>
      </c>
      <c r="T3" s="5" t="s">
        <v>173</v>
      </c>
    </row>
    <row r="4" spans="1:29">
      <c r="B4" s="5">
        <f t="shared" ref="B4" si="0">B3+1</f>
        <v>2</v>
      </c>
      <c r="C4" s="2" t="s">
        <v>24</v>
      </c>
      <c r="E4" s="5" t="str">
        <f>'PSet_MAP coarse'!$F$21</f>
        <v>IMP,MIN,EXP,FUELTECH,PP_FOSSIL,PP_NUCLEAR,PP_OTHER,PP_RENEW,Agri,Comm Appl,Comm Other,Comm SpHt,Industry,Iron_Steel,Resi Appl,Resi Other,Resi Spht,Tra Cars,Tra Public</v>
      </c>
      <c r="K4" s="5" t="str">
        <f>CName_MAP!$F$58</f>
        <v>AGRBIO,AGRCOA,AGRELC,AGRGAS,AGROIL,BIO,COA,COMBIO,COMCOA,COMELC,COMGAS,COMOIL,COMSOL,DSL,ELC,ELCBIO,ELCCOA,ELCGAS,ELCHYD,ELCNUC,ELCOIL,ELCSOL,ELCWIN,GAS,GSL,HET,HFO,HYD,INDBIO,INDCOA,INDELC,INDGAS,INDOIL,INDOXY,KER,LPG,NAP,NUC,OIL,OPP,RSDBIO,RSDCOA,RSDELC,RSDELC,RSDGAS,RSDHET,RSDOIL,RSDSOL,SOL,TRABIO,TRADSL,TRAELC,TRAGAS,TRAGSL,TRALPG,WIN</v>
      </c>
      <c r="M4" s="2" t="s">
        <v>283</v>
      </c>
      <c r="P4" s="2" t="s">
        <v>174</v>
      </c>
      <c r="Q4" s="3" t="s">
        <v>174</v>
      </c>
      <c r="R4" s="2" t="s">
        <v>174</v>
      </c>
      <c r="T4" s="5" t="s">
        <v>173</v>
      </c>
    </row>
  </sheetData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21"/>
  <sheetViews>
    <sheetView workbookViewId="0">
      <selection activeCell="F21" sqref="F21"/>
    </sheetView>
  </sheetViews>
  <sheetFormatPr defaultRowHeight="15"/>
  <cols>
    <col min="1" max="1" width="24.28515625" style="5" bestFit="1" customWidth="1"/>
    <col min="2" max="2" width="23.28515625" style="5" bestFit="1" customWidth="1"/>
    <col min="3" max="3" width="15.140625" style="5" bestFit="1" customWidth="1"/>
    <col min="4" max="5" width="9.140625" style="5"/>
    <col min="6" max="6" width="11" style="5" bestFit="1" customWidth="1"/>
    <col min="7" max="16384" width="9.140625" style="5"/>
  </cols>
  <sheetData>
    <row r="1" spans="1:6">
      <c r="A1" s="1" t="s">
        <v>22</v>
      </c>
    </row>
    <row r="2" spans="1:6">
      <c r="A2" s="5" t="s">
        <v>23</v>
      </c>
      <c r="B2" s="5" t="s">
        <v>1</v>
      </c>
      <c r="C2" s="5" t="s">
        <v>6</v>
      </c>
    </row>
    <row r="3" spans="1:6">
      <c r="A3" s="5" t="s">
        <v>284</v>
      </c>
      <c r="B3" s="5" t="s">
        <v>285</v>
      </c>
      <c r="C3" s="5" t="str">
        <f>B3</f>
        <v>Imports</v>
      </c>
      <c r="F3" s="5" t="str">
        <f>A3</f>
        <v>IMP</v>
      </c>
    </row>
    <row r="4" spans="1:6">
      <c r="A4" s="5" t="s">
        <v>286</v>
      </c>
      <c r="B4" s="5" t="s">
        <v>287</v>
      </c>
      <c r="C4" s="5" t="str">
        <f t="shared" ref="C4:C7" si="0">B4</f>
        <v>Domestic Production</v>
      </c>
      <c r="F4" s="5" t="str">
        <f>F3&amp;","&amp;A4</f>
        <v>IMP,MIN</v>
      </c>
    </row>
    <row r="5" spans="1:6">
      <c r="A5" s="5" t="s">
        <v>288</v>
      </c>
      <c r="B5" s="5" t="s">
        <v>289</v>
      </c>
      <c r="C5" s="5" t="str">
        <f t="shared" si="0"/>
        <v>Exports</v>
      </c>
      <c r="F5" s="5" t="str">
        <f t="shared" ref="F5:F21" si="1">F4&amp;","&amp;A5</f>
        <v>IMP,MIN,EXP</v>
      </c>
    </row>
    <row r="6" spans="1:6">
      <c r="A6" s="5" t="s">
        <v>292</v>
      </c>
      <c r="B6" s="5" t="s">
        <v>293</v>
      </c>
      <c r="C6" s="5" t="str">
        <f t="shared" si="0"/>
        <v>Fuel Technologies</v>
      </c>
      <c r="F6" s="5" t="str">
        <f t="shared" si="1"/>
        <v>IMP,MIN,EXP,FUELTECH</v>
      </c>
    </row>
    <row r="7" spans="1:6">
      <c r="A7" s="5" t="s">
        <v>294</v>
      </c>
      <c r="B7" s="5" t="s">
        <v>295</v>
      </c>
      <c r="C7" s="5" t="str">
        <f t="shared" si="0"/>
        <v>Fossil Power Plants</v>
      </c>
      <c r="F7" s="5" t="str">
        <f t="shared" si="1"/>
        <v>IMP,MIN,EXP,FUELTECH,PP_FOSSIL</v>
      </c>
    </row>
    <row r="8" spans="1:6">
      <c r="A8" s="5" t="s">
        <v>296</v>
      </c>
      <c r="B8" s="5" t="s">
        <v>290</v>
      </c>
      <c r="F8" s="5" t="str">
        <f t="shared" si="1"/>
        <v>IMP,MIN,EXP,FUELTECH,PP_FOSSIL,PP_NUCLEAR</v>
      </c>
    </row>
    <row r="9" spans="1:6">
      <c r="A9" s="5" t="s">
        <v>297</v>
      </c>
      <c r="B9" s="5" t="s">
        <v>298</v>
      </c>
      <c r="C9" s="5" t="str">
        <f>B9</f>
        <v>Other Power Plants</v>
      </c>
      <c r="F9" s="5" t="str">
        <f t="shared" si="1"/>
        <v>IMP,MIN,EXP,FUELTECH,PP_FOSSIL,PP_NUCLEAR,PP_OTHER</v>
      </c>
    </row>
    <row r="10" spans="1:6">
      <c r="A10" s="5" t="s">
        <v>299</v>
      </c>
      <c r="B10" s="5" t="s">
        <v>291</v>
      </c>
      <c r="C10" s="5" t="str">
        <f>B10</f>
        <v>Renewable Power Plants</v>
      </c>
      <c r="F10" s="5" t="str">
        <f t="shared" si="1"/>
        <v>IMP,MIN,EXP,FUELTECH,PP_FOSSIL,PP_NUCLEAR,PP_OTHER,PP_RENEW</v>
      </c>
    </row>
    <row r="11" spans="1:6">
      <c r="A11" s="5" t="s">
        <v>300</v>
      </c>
      <c r="B11" s="5" t="s">
        <v>300</v>
      </c>
      <c r="C11" s="5" t="str">
        <f t="shared" ref="C11:C21" si="2">B11</f>
        <v>Agri</v>
      </c>
      <c r="F11" s="5" t="str">
        <f t="shared" si="1"/>
        <v>IMP,MIN,EXP,FUELTECH,PP_FOSSIL,PP_NUCLEAR,PP_OTHER,PP_RENEW,Agri</v>
      </c>
    </row>
    <row r="12" spans="1:6">
      <c r="A12" s="5" t="s">
        <v>301</v>
      </c>
      <c r="B12" s="5" t="s">
        <v>301</v>
      </c>
      <c r="C12" s="5" t="str">
        <f t="shared" si="2"/>
        <v>Comm Appl</v>
      </c>
      <c r="F12" s="5" t="str">
        <f t="shared" si="1"/>
        <v>IMP,MIN,EXP,FUELTECH,PP_FOSSIL,PP_NUCLEAR,PP_OTHER,PP_RENEW,Agri,Comm Appl</v>
      </c>
    </row>
    <row r="13" spans="1:6">
      <c r="A13" s="5" t="s">
        <v>302</v>
      </c>
      <c r="B13" s="5" t="s">
        <v>302</v>
      </c>
      <c r="C13" s="5" t="str">
        <f t="shared" si="2"/>
        <v>Comm Other</v>
      </c>
      <c r="F13" s="5" t="str">
        <f t="shared" si="1"/>
        <v>IMP,MIN,EXP,FUELTECH,PP_FOSSIL,PP_NUCLEAR,PP_OTHER,PP_RENEW,Agri,Comm Appl,Comm Other</v>
      </c>
    </row>
    <row r="14" spans="1:6">
      <c r="A14" s="5" t="s">
        <v>303</v>
      </c>
      <c r="B14" s="5" t="s">
        <v>303</v>
      </c>
      <c r="C14" s="5" t="str">
        <f t="shared" si="2"/>
        <v>Comm SpHt</v>
      </c>
      <c r="F14" s="5" t="str">
        <f t="shared" si="1"/>
        <v>IMP,MIN,EXP,FUELTECH,PP_FOSSIL,PP_NUCLEAR,PP_OTHER,PP_RENEW,Agri,Comm Appl,Comm Other,Comm SpHt</v>
      </c>
    </row>
    <row r="15" spans="1:6">
      <c r="A15" s="5" t="s">
        <v>45</v>
      </c>
      <c r="B15" s="5" t="s">
        <v>45</v>
      </c>
      <c r="C15" s="5" t="str">
        <f t="shared" si="2"/>
        <v>Industry</v>
      </c>
      <c r="F15" s="5" t="str">
        <f t="shared" si="1"/>
        <v>IMP,MIN,EXP,FUELTECH,PP_FOSSIL,PP_NUCLEAR,PP_OTHER,PP_RENEW,Agri,Comm Appl,Comm Other,Comm SpHt,Industry</v>
      </c>
    </row>
    <row r="16" spans="1:6">
      <c r="A16" s="5" t="s">
        <v>304</v>
      </c>
      <c r="B16" s="5" t="s">
        <v>304</v>
      </c>
      <c r="C16" s="5" t="str">
        <f t="shared" si="2"/>
        <v>Iron_Steel</v>
      </c>
      <c r="F16" s="5" t="str">
        <f t="shared" si="1"/>
        <v>IMP,MIN,EXP,FUELTECH,PP_FOSSIL,PP_NUCLEAR,PP_OTHER,PP_RENEW,Agri,Comm Appl,Comm Other,Comm SpHt,Industry,Iron_Steel</v>
      </c>
    </row>
    <row r="17" spans="1:6">
      <c r="A17" s="5" t="s">
        <v>305</v>
      </c>
      <c r="B17" s="5" t="s">
        <v>305</v>
      </c>
      <c r="C17" s="5" t="str">
        <f t="shared" si="2"/>
        <v>Resi Appl</v>
      </c>
      <c r="F17" s="5" t="str">
        <f t="shared" si="1"/>
        <v>IMP,MIN,EXP,FUELTECH,PP_FOSSIL,PP_NUCLEAR,PP_OTHER,PP_RENEW,Agri,Comm Appl,Comm Other,Comm SpHt,Industry,Iron_Steel,Resi Appl</v>
      </c>
    </row>
    <row r="18" spans="1:6">
      <c r="A18" s="5" t="s">
        <v>306</v>
      </c>
      <c r="B18" s="5" t="s">
        <v>306</v>
      </c>
      <c r="C18" s="5" t="str">
        <f t="shared" si="2"/>
        <v>Resi Other</v>
      </c>
      <c r="F18" s="5" t="str">
        <f t="shared" si="1"/>
        <v>IMP,MIN,EXP,FUELTECH,PP_FOSSIL,PP_NUCLEAR,PP_OTHER,PP_RENEW,Agri,Comm Appl,Comm Other,Comm SpHt,Industry,Iron_Steel,Resi Appl,Resi Other</v>
      </c>
    </row>
    <row r="19" spans="1:6">
      <c r="A19" s="5" t="s">
        <v>307</v>
      </c>
      <c r="B19" s="5" t="s">
        <v>307</v>
      </c>
      <c r="C19" s="5" t="str">
        <f t="shared" si="2"/>
        <v>Resi Spht</v>
      </c>
      <c r="F19" s="5" t="str">
        <f t="shared" si="1"/>
        <v>IMP,MIN,EXP,FUELTECH,PP_FOSSIL,PP_NUCLEAR,PP_OTHER,PP_RENEW,Agri,Comm Appl,Comm Other,Comm SpHt,Industry,Iron_Steel,Resi Appl,Resi Other,Resi Spht</v>
      </c>
    </row>
    <row r="20" spans="1:6">
      <c r="A20" s="5" t="s">
        <v>308</v>
      </c>
      <c r="B20" s="5" t="s">
        <v>308</v>
      </c>
      <c r="C20" s="5" t="str">
        <f t="shared" si="2"/>
        <v>Tra Cars</v>
      </c>
      <c r="F20" s="5" t="str">
        <f t="shared" si="1"/>
        <v>IMP,MIN,EXP,FUELTECH,PP_FOSSIL,PP_NUCLEAR,PP_OTHER,PP_RENEW,Agri,Comm Appl,Comm Other,Comm SpHt,Industry,Iron_Steel,Resi Appl,Resi Other,Resi Spht,Tra Cars</v>
      </c>
    </row>
    <row r="21" spans="1:6">
      <c r="A21" s="5" t="s">
        <v>309</v>
      </c>
      <c r="B21" s="5" t="s">
        <v>309</v>
      </c>
      <c r="C21" s="5" t="str">
        <f t="shared" si="2"/>
        <v>Tra Public</v>
      </c>
      <c r="F21" s="5" t="str">
        <f t="shared" si="1"/>
        <v>IMP,MIN,EXP,FUELTECH,PP_FOSSIL,PP_NUCLEAR,PP_OTHER,PP_RENEW,Agri,Comm Appl,Comm Other,Comm SpHt,Industry,Iron_Steel,Resi Appl,Resi Other,Resi Spht,Tra Cars,Tra Public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58"/>
  <sheetViews>
    <sheetView tabSelected="1" workbookViewId="0">
      <pane ySplit="2" topLeftCell="A39" activePane="bottomLeft" state="frozen"/>
      <selection pane="bottomLeft" activeCell="F39" sqref="F39"/>
    </sheetView>
  </sheetViews>
  <sheetFormatPr defaultRowHeight="15"/>
  <cols>
    <col min="1" max="1" width="13.5703125" style="5" bestFit="1" customWidth="1"/>
    <col min="2" max="2" width="36.28515625" style="5" bestFit="1" customWidth="1"/>
    <col min="3" max="3" width="36.42578125" style="5" bestFit="1" customWidth="1"/>
    <col min="4" max="5" width="9.140625" style="5"/>
    <col min="6" max="6" width="11" style="5" bestFit="1" customWidth="1"/>
    <col min="7" max="16384" width="9.140625" style="5"/>
  </cols>
  <sheetData>
    <row r="1" spans="1:6">
      <c r="A1" s="1" t="s">
        <v>25</v>
      </c>
    </row>
    <row r="2" spans="1:6">
      <c r="A2" s="5" t="s">
        <v>26</v>
      </c>
      <c r="B2" s="5" t="s">
        <v>1</v>
      </c>
      <c r="C2" s="5" t="s">
        <v>6</v>
      </c>
    </row>
    <row r="3" spans="1:6">
      <c r="A3" s="5" t="s">
        <v>194</v>
      </c>
      <c r="B3" s="5" t="s">
        <v>195</v>
      </c>
      <c r="C3" s="5" t="str">
        <f>B3</f>
        <v>Agri Biomass</v>
      </c>
      <c r="F3" s="5" t="str">
        <f>A3</f>
        <v>AGRBIO</v>
      </c>
    </row>
    <row r="4" spans="1:6">
      <c r="A4" s="5" t="s">
        <v>196</v>
      </c>
      <c r="B4" s="5" t="s">
        <v>197</v>
      </c>
      <c r="C4" s="5" t="str">
        <f t="shared" ref="C4:C58" si="0">B4</f>
        <v>Agri Coal</v>
      </c>
      <c r="F4" s="5" t="str">
        <f>F3&amp;","&amp;A4</f>
        <v>AGRBIO,AGRCOA</v>
      </c>
    </row>
    <row r="5" spans="1:6">
      <c r="A5" s="5" t="s">
        <v>198</v>
      </c>
      <c r="B5" s="5" t="s">
        <v>199</v>
      </c>
      <c r="C5" s="5" t="str">
        <f t="shared" si="0"/>
        <v>Agri Electricity</v>
      </c>
      <c r="F5" s="5" t="str">
        <f t="shared" ref="F5:F58" si="1">F4&amp;","&amp;A5</f>
        <v>AGRBIO,AGRCOA,AGRELC</v>
      </c>
    </row>
    <row r="6" spans="1:6">
      <c r="A6" s="5" t="s">
        <v>200</v>
      </c>
      <c r="B6" s="5" t="s">
        <v>201</v>
      </c>
      <c r="C6" s="5" t="str">
        <f t="shared" si="0"/>
        <v>Agri Natural Gas</v>
      </c>
      <c r="F6" s="5" t="str">
        <f t="shared" si="1"/>
        <v>AGRBIO,AGRCOA,AGRELC,AGRGAS</v>
      </c>
    </row>
    <row r="7" spans="1:6">
      <c r="A7" s="5" t="s">
        <v>202</v>
      </c>
      <c r="B7" s="5" t="s">
        <v>203</v>
      </c>
      <c r="C7" s="5" t="str">
        <f t="shared" si="0"/>
        <v>Agri Oil</v>
      </c>
      <c r="F7" s="5" t="str">
        <f t="shared" si="1"/>
        <v>AGRBIO,AGRCOA,AGRELC,AGRGAS,AGROIL</v>
      </c>
    </row>
    <row r="8" spans="1:6">
      <c r="A8" s="5" t="s">
        <v>204</v>
      </c>
      <c r="B8" s="5" t="s">
        <v>46</v>
      </c>
      <c r="C8" s="5" t="str">
        <f t="shared" si="0"/>
        <v>Biomass</v>
      </c>
      <c r="F8" s="5" t="str">
        <f t="shared" si="1"/>
        <v>AGRBIO,AGRCOA,AGRELC,AGRGAS,AGROIL,BIO</v>
      </c>
    </row>
    <row r="9" spans="1:6">
      <c r="A9" s="5" t="s">
        <v>205</v>
      </c>
      <c r="B9" s="5" t="s">
        <v>47</v>
      </c>
      <c r="C9" s="5" t="str">
        <f t="shared" si="0"/>
        <v>Coal</v>
      </c>
      <c r="F9" s="5" t="str">
        <f t="shared" si="1"/>
        <v>AGRBIO,AGRCOA,AGRELC,AGRGAS,AGROIL,BIO,COA</v>
      </c>
    </row>
    <row r="10" spans="1:6">
      <c r="A10" s="5" t="s">
        <v>206</v>
      </c>
      <c r="B10" s="5" t="s">
        <v>207</v>
      </c>
      <c r="C10" s="5" t="str">
        <f t="shared" si="0"/>
        <v>Comm Biomass</v>
      </c>
      <c r="F10" s="5" t="str">
        <f t="shared" si="1"/>
        <v>AGRBIO,AGRCOA,AGRELC,AGRGAS,AGROIL,BIO,COA,COMBIO</v>
      </c>
    </row>
    <row r="11" spans="1:6">
      <c r="A11" s="5" t="s">
        <v>208</v>
      </c>
      <c r="B11" s="5" t="s">
        <v>209</v>
      </c>
      <c r="C11" s="5" t="str">
        <f t="shared" si="0"/>
        <v>Comm Coal</v>
      </c>
      <c r="F11" s="5" t="str">
        <f t="shared" si="1"/>
        <v>AGRBIO,AGRCOA,AGRELC,AGRGAS,AGROIL,BIO,COA,COMBIO,COMCOA</v>
      </c>
    </row>
    <row r="12" spans="1:6">
      <c r="A12" s="5" t="s">
        <v>146</v>
      </c>
      <c r="B12" s="5" t="s">
        <v>210</v>
      </c>
      <c r="C12" s="5" t="str">
        <f t="shared" si="0"/>
        <v>Comm Electricity</v>
      </c>
      <c r="F12" s="5" t="str">
        <f t="shared" si="1"/>
        <v>AGRBIO,AGRCOA,AGRELC,AGRGAS,AGROIL,BIO,COA,COMBIO,COMCOA,COMELC</v>
      </c>
    </row>
    <row r="13" spans="1:6">
      <c r="A13" s="5" t="s">
        <v>211</v>
      </c>
      <c r="B13" s="5" t="s">
        <v>212</v>
      </c>
      <c r="C13" s="5" t="str">
        <f t="shared" si="0"/>
        <v>Comm Natural Gas</v>
      </c>
      <c r="F13" s="5" t="str">
        <f t="shared" si="1"/>
        <v>AGRBIO,AGRCOA,AGRELC,AGRGAS,AGROIL,BIO,COA,COMBIO,COMCOA,COMELC,COMGAS</v>
      </c>
    </row>
    <row r="14" spans="1:6">
      <c r="A14" s="5" t="s">
        <v>213</v>
      </c>
      <c r="B14" s="5" t="s">
        <v>214</v>
      </c>
      <c r="C14" s="5" t="str">
        <f t="shared" si="0"/>
        <v>Comm Oil</v>
      </c>
      <c r="F14" s="5" t="str">
        <f t="shared" si="1"/>
        <v>AGRBIO,AGRCOA,AGRELC,AGRGAS,AGROIL,BIO,COA,COMBIO,COMCOA,COMELC,COMGAS,COMOIL</v>
      </c>
    </row>
    <row r="15" spans="1:6">
      <c r="A15" s="5" t="s">
        <v>215</v>
      </c>
      <c r="B15" s="5" t="s">
        <v>278</v>
      </c>
      <c r="C15" s="5" t="str">
        <f t="shared" si="0"/>
        <v>Comm Solar</v>
      </c>
      <c r="F15" s="5" t="str">
        <f t="shared" si="1"/>
        <v>AGRBIO,AGRCOA,AGRELC,AGRGAS,AGROIL,BIO,COA,COMBIO,COMCOA,COMELC,COMGAS,COMOIL,COMSOL</v>
      </c>
    </row>
    <row r="16" spans="1:6">
      <c r="A16" s="5" t="s">
        <v>216</v>
      </c>
      <c r="B16" s="5" t="s">
        <v>217</v>
      </c>
      <c r="C16" s="5" t="str">
        <f t="shared" si="0"/>
        <v>Diesel oil</v>
      </c>
      <c r="F16" s="5" t="str">
        <f t="shared" si="1"/>
        <v>AGRBIO,AGRCOA,AGRELC,AGRGAS,AGROIL,BIO,COA,COMBIO,COMCOA,COMELC,COMGAS,COMOIL,COMSOL,DSL</v>
      </c>
    </row>
    <row r="17" spans="1:6">
      <c r="A17" s="5" t="s">
        <v>149</v>
      </c>
      <c r="B17" s="5" t="s">
        <v>147</v>
      </c>
      <c r="C17" s="5" t="str">
        <f t="shared" si="0"/>
        <v>Electricity</v>
      </c>
      <c r="F17" s="5" t="str">
        <f t="shared" si="1"/>
        <v>AGRBIO,AGRCOA,AGRELC,AGRGAS,AGROIL,BIO,COA,COMBIO,COMCOA,COMELC,COMGAS,COMOIL,COMSOL,DSL,ELC</v>
      </c>
    </row>
    <row r="18" spans="1:6">
      <c r="A18" s="5" t="s">
        <v>150</v>
      </c>
      <c r="B18" s="5" t="s">
        <v>218</v>
      </c>
      <c r="C18" s="5" t="str">
        <f t="shared" si="0"/>
        <v>Elec Biomass</v>
      </c>
      <c r="F18" s="5" t="str">
        <f t="shared" si="1"/>
        <v>AGRBIO,AGRCOA,AGRELC,AGRGAS,AGROIL,BIO,COA,COMBIO,COMCOA,COMELC,COMGAS,COMOIL,COMSOL,DSL,ELC,ELCBIO</v>
      </c>
    </row>
    <row r="19" spans="1:6">
      <c r="A19" s="5" t="s">
        <v>151</v>
      </c>
      <c r="B19" s="5" t="s">
        <v>219</v>
      </c>
      <c r="C19" s="5" t="str">
        <f t="shared" si="0"/>
        <v>Elec Coal</v>
      </c>
      <c r="F19" s="5" t="str">
        <f t="shared" si="1"/>
        <v>AGRBIO,AGRCOA,AGRELC,AGRGAS,AGROIL,BIO,COA,COMBIO,COMCOA,COMELC,COMGAS,COMOIL,COMSOL,DSL,ELC,ELCBIO,ELCCOA</v>
      </c>
    </row>
    <row r="20" spans="1:6">
      <c r="A20" s="5" t="s">
        <v>152</v>
      </c>
      <c r="B20" s="5" t="s">
        <v>220</v>
      </c>
      <c r="C20" s="5" t="str">
        <f t="shared" si="0"/>
        <v>Elec Natural Gas</v>
      </c>
      <c r="F20" s="5" t="str">
        <f t="shared" si="1"/>
        <v>AGRBIO,AGRCOA,AGRELC,AGRGAS,AGROIL,BIO,COA,COMBIO,COMCOA,COMELC,COMGAS,COMOIL,COMSOL,DSL,ELC,ELCBIO,ELCCOA,ELCGAS</v>
      </c>
    </row>
    <row r="21" spans="1:6">
      <c r="A21" s="5" t="s">
        <v>155</v>
      </c>
      <c r="B21" s="5" t="s">
        <v>221</v>
      </c>
      <c r="C21" s="5" t="str">
        <f t="shared" si="0"/>
        <v>Elec Hydro power</v>
      </c>
      <c r="F21" s="5" t="str">
        <f t="shared" si="1"/>
        <v>AGRBIO,AGRCOA,AGRELC,AGRGAS,AGROIL,BIO,COA,COMBIO,COMCOA,COMELC,COMGAS,COMOIL,COMSOL,DSL,ELC,ELCBIO,ELCCOA,ELCGAS,ELCHYD</v>
      </c>
    </row>
    <row r="22" spans="1:6">
      <c r="A22" s="5" t="s">
        <v>222</v>
      </c>
      <c r="B22" s="5" t="s">
        <v>279</v>
      </c>
      <c r="C22" s="5" t="str">
        <f t="shared" si="0"/>
        <v>Elec Nuclear</v>
      </c>
      <c r="F22" s="5" t="str">
        <f t="shared" si="1"/>
        <v>AGRBIO,AGRCOA,AGRELC,AGRGAS,AGROIL,BIO,COA,COMBIO,COMCOA,COMELC,COMGAS,COMOIL,COMSOL,DSL,ELC,ELCBIO,ELCCOA,ELCGAS,ELCHYD,ELCNUC</v>
      </c>
    </row>
    <row r="23" spans="1:6">
      <c r="A23" s="5" t="s">
        <v>156</v>
      </c>
      <c r="B23" s="5" t="s">
        <v>223</v>
      </c>
      <c r="C23" s="5" t="str">
        <f t="shared" si="0"/>
        <v>Elec oil</v>
      </c>
      <c r="F23" s="5" t="str">
        <f t="shared" si="1"/>
        <v>AGRBIO,AGRCOA,AGRELC,AGRGAS,AGROIL,BIO,COA,COMBIO,COMCOA,COMELC,COMGAS,COMOIL,COMSOL,DSL,ELC,ELCBIO,ELCCOA,ELCGAS,ELCHYD,ELCNUC,ELCOIL</v>
      </c>
    </row>
    <row r="24" spans="1:6">
      <c r="A24" s="5" t="s">
        <v>157</v>
      </c>
      <c r="B24" s="5" t="s">
        <v>280</v>
      </c>
      <c r="C24" s="5" t="str">
        <f t="shared" si="0"/>
        <v>Elec Solar</v>
      </c>
      <c r="F24" s="5" t="str">
        <f t="shared" si="1"/>
        <v>AGRBIO,AGRCOA,AGRELC,AGRGAS,AGROIL,BIO,COA,COMBIO,COMCOA,COMELC,COMGAS,COMOIL,COMSOL,DSL,ELC,ELCBIO,ELCCOA,ELCGAS,ELCHYD,ELCNUC,ELCOIL,ELCSOL</v>
      </c>
    </row>
    <row r="25" spans="1:6">
      <c r="A25" s="5" t="s">
        <v>175</v>
      </c>
      <c r="B25" s="5" t="s">
        <v>281</v>
      </c>
      <c r="C25" s="5" t="str">
        <f t="shared" si="0"/>
        <v>Elec Wind</v>
      </c>
      <c r="F25" s="5" t="str">
        <f t="shared" si="1"/>
        <v>AGRBIO,AGRCOA,AGRELC,AGRGAS,AGROIL,BIO,COA,COMBIO,COMCOA,COMELC,COMGAS,COMOIL,COMSOL,DSL,ELC,ELCBIO,ELCCOA,ELCGAS,ELCHYD,ELCNUC,ELCOIL,ELCSOL,ELCWIN</v>
      </c>
    </row>
    <row r="26" spans="1:6">
      <c r="A26" s="5" t="s">
        <v>224</v>
      </c>
      <c r="B26" s="5" t="s">
        <v>153</v>
      </c>
      <c r="C26" s="5" t="str">
        <f t="shared" si="0"/>
        <v>Natural Gas</v>
      </c>
      <c r="F26" s="5" t="str">
        <f t="shared" si="1"/>
        <v>AGRBIO,AGRCOA,AGRELC,AGRGAS,AGROIL,BIO,COA,COMBIO,COMCOA,COMELC,COMGAS,COMOIL,COMSOL,DSL,ELC,ELCBIO,ELCCOA,ELCGAS,ELCHYD,ELCNUC,ELCOIL,ELCSOL,ELCWIN,GAS</v>
      </c>
    </row>
    <row r="27" spans="1:6">
      <c r="A27" s="5" t="s">
        <v>225</v>
      </c>
      <c r="B27" s="5" t="s">
        <v>226</v>
      </c>
      <c r="C27" s="5" t="str">
        <f t="shared" si="0"/>
        <v>Motor spirit</v>
      </c>
      <c r="F27" s="5" t="str">
        <f t="shared" si="1"/>
        <v>AGRBIO,AGRCOA,AGRELC,AGRGAS,AGROIL,BIO,COA,COMBIO,COMCOA,COMELC,COMGAS,COMOIL,COMSOL,DSL,ELC,ELCBIO,ELCCOA,ELCGAS,ELCHYD,ELCNUC,ELCOIL,ELCSOL,ELCWIN,GAS,GSL</v>
      </c>
    </row>
    <row r="28" spans="1:6">
      <c r="A28" s="5" t="s">
        <v>227</v>
      </c>
      <c r="B28" s="5" t="s">
        <v>228</v>
      </c>
      <c r="C28" s="5" t="str">
        <f t="shared" si="0"/>
        <v>Heat from CHP</v>
      </c>
      <c r="F28" s="5" t="str">
        <f t="shared" si="1"/>
        <v>AGRBIO,AGRCOA,AGRELC,AGRGAS,AGROIL,BIO,COA,COMBIO,COMCOA,COMELC,COMGAS,COMOIL,COMSOL,DSL,ELC,ELCBIO,ELCCOA,ELCGAS,ELCHYD,ELCNUC,ELCOIL,ELCSOL,ELCWIN,GAS,GSL,HET</v>
      </c>
    </row>
    <row r="29" spans="1:6">
      <c r="A29" s="5" t="s">
        <v>229</v>
      </c>
      <c r="B29" s="5" t="s">
        <v>230</v>
      </c>
      <c r="C29" s="5" t="str">
        <f t="shared" si="0"/>
        <v>Heavy Fuel Oil</v>
      </c>
      <c r="F29" s="5" t="str">
        <f t="shared" si="1"/>
        <v>AGRBIO,AGRCOA,AGRELC,AGRGAS,AGROIL,BIO,COA,COMBIO,COMCOA,COMELC,COMGAS,COMOIL,COMSOL,DSL,ELC,ELCBIO,ELCCOA,ELCGAS,ELCHYD,ELCNUC,ELCOIL,ELCSOL,ELCWIN,GAS,GSL,HET,HFO</v>
      </c>
    </row>
    <row r="30" spans="1:6">
      <c r="A30" s="5" t="s">
        <v>231</v>
      </c>
      <c r="B30" s="5" t="s">
        <v>232</v>
      </c>
      <c r="C30" s="5" t="str">
        <f t="shared" si="0"/>
        <v>Hydro power</v>
      </c>
      <c r="F30" s="5" t="str">
        <f t="shared" si="1"/>
        <v>AGRBIO,AGRCOA,AGRELC,AGRGAS,AGROIL,BIO,COA,COMBIO,COMCOA,COMELC,COMGAS,COMOIL,COMSOL,DSL,ELC,ELCBIO,ELCCOA,ELCGAS,ELCHYD,ELCNUC,ELCOIL,ELCSOL,ELCWIN,GAS,GSL,HET,HFO,HYD</v>
      </c>
    </row>
    <row r="31" spans="1:6">
      <c r="A31" s="5" t="s">
        <v>233</v>
      </c>
      <c r="B31" s="5" t="s">
        <v>234</v>
      </c>
      <c r="C31" s="5" t="str">
        <f t="shared" si="0"/>
        <v>Ind Biomass</v>
      </c>
      <c r="F31" s="5" t="str">
        <f t="shared" si="1"/>
        <v>AGRBIO,AGRCOA,AGRELC,AGRGAS,AGROIL,BIO,COA,COMBIO,COMCOA,COMELC,COMGAS,COMOIL,COMSOL,DSL,ELC,ELCBIO,ELCCOA,ELCGAS,ELCHYD,ELCNUC,ELCOIL,ELCSOL,ELCWIN,GAS,GSL,HET,HFO,HYD,INDBIO</v>
      </c>
    </row>
    <row r="32" spans="1:6">
      <c r="A32" s="5" t="s">
        <v>160</v>
      </c>
      <c r="B32" s="5" t="s">
        <v>235</v>
      </c>
      <c r="C32" s="5" t="str">
        <f t="shared" si="0"/>
        <v>Ind Coal</v>
      </c>
      <c r="F32" s="5" t="str">
        <f t="shared" si="1"/>
        <v>AGRBIO,AGRCOA,AGRELC,AGRGAS,AGROIL,BIO,COA,COMBIO,COMCOA,COMELC,COMGAS,COMOIL,COMSOL,DSL,ELC,ELCBIO,ELCCOA,ELCGAS,ELCHYD,ELCNUC,ELCOIL,ELCSOL,ELCWIN,GAS,GSL,HET,HFO,HYD,INDBIO,INDCOA</v>
      </c>
    </row>
    <row r="33" spans="1:6">
      <c r="A33" s="5" t="s">
        <v>162</v>
      </c>
      <c r="B33" s="5" t="s">
        <v>236</v>
      </c>
      <c r="C33" s="5" t="str">
        <f t="shared" si="0"/>
        <v>Ind Electricity</v>
      </c>
      <c r="F33" s="5" t="str">
        <f t="shared" si="1"/>
        <v>AGRBIO,AGRCOA,AGRELC,AGRGAS,AGROIL,BIO,COA,COMBIO,COMCOA,COMELC,COMGAS,COMOIL,COMSOL,DSL,ELC,ELCBIO,ELCCOA,ELCGAS,ELCHYD,ELCNUC,ELCOIL,ELCSOL,ELCWIN,GAS,GSL,HET,HFO,HYD,INDBIO,INDCOA,INDELC</v>
      </c>
    </row>
    <row r="34" spans="1:6">
      <c r="A34" s="5" t="s">
        <v>164</v>
      </c>
      <c r="B34" s="5" t="s">
        <v>237</v>
      </c>
      <c r="C34" s="5" t="str">
        <f t="shared" si="0"/>
        <v>Ind Natural Gas</v>
      </c>
      <c r="F34" s="5" t="str">
        <f t="shared" si="1"/>
        <v>AGRBIO,AGRCOA,AGRELC,AGRGAS,AGROIL,BIO,COA,COMBIO,COMCOA,COMELC,COMGAS,COMOIL,COMSOL,DSL,ELC,ELCBIO,ELCCOA,ELCGAS,ELCHYD,ELCNUC,ELCOIL,ELCSOL,ELCWIN,GAS,GSL,HET,HFO,HYD,INDBIO,INDCOA,INDELC,INDGAS</v>
      </c>
    </row>
    <row r="35" spans="1:6">
      <c r="A35" s="5" t="s">
        <v>168</v>
      </c>
      <c r="B35" s="5" t="s">
        <v>238</v>
      </c>
      <c r="C35" s="5" t="str">
        <f t="shared" si="0"/>
        <v>Ind Crude oil</v>
      </c>
      <c r="F35" s="5" t="str">
        <f t="shared" si="1"/>
        <v>AGRBIO,AGRCOA,AGRELC,AGRGAS,AGROIL,BIO,COA,COMBIO,COMCOA,COMELC,COMGAS,COMOIL,COMSOL,DSL,ELC,ELCBIO,ELCCOA,ELCGAS,ELCHYD,ELCNUC,ELCOIL,ELCSOL,ELCWIN,GAS,GSL,HET,HFO,HYD,INDBIO,INDCOA,INDELC,INDGAS,INDOIL</v>
      </c>
    </row>
    <row r="36" spans="1:6">
      <c r="A36" s="5" t="s">
        <v>239</v>
      </c>
      <c r="B36" s="5" t="s">
        <v>240</v>
      </c>
      <c r="C36" s="5" t="str">
        <f t="shared" si="0"/>
        <v>Industrial Oxygen</v>
      </c>
      <c r="F36" s="5" t="str">
        <f t="shared" si="1"/>
        <v>AGRBIO,AGRCOA,AGRELC,AGRGAS,AGROIL,BIO,COA,COMBIO,COMCOA,COMELC,COMGAS,COMOIL,COMSOL,DSL,ELC,ELCBIO,ELCCOA,ELCGAS,ELCHYD,ELCNUC,ELCOIL,ELCSOL,ELCWIN,GAS,GSL,HET,HFO,HYD,INDBIO,INDCOA,INDELC,INDGAS,INDOIL,INDOXY</v>
      </c>
    </row>
    <row r="37" spans="1:6">
      <c r="A37" s="5" t="s">
        <v>241</v>
      </c>
      <c r="B37" s="5" t="s">
        <v>242</v>
      </c>
      <c r="C37" s="5" t="str">
        <f t="shared" si="0"/>
        <v>Kerosenes</v>
      </c>
      <c r="F37" s="5" t="str">
        <f t="shared" si="1"/>
        <v>AGRBIO,AGRCOA,AGRELC,AGRGAS,AGROIL,BIO,COA,COMBIO,COMCOA,COMELC,COMGAS,COMOIL,COMSOL,DSL,ELC,ELCBIO,ELCCOA,ELCGAS,ELCHYD,ELCNUC,ELCOIL,ELCSOL,ELCWIN,GAS,GSL,HET,HFO,HYD,INDBIO,INDCOA,INDELC,INDGAS,INDOIL,INDOXY,KER</v>
      </c>
    </row>
    <row r="38" spans="1:6">
      <c r="A38" s="5" t="s">
        <v>167</v>
      </c>
      <c r="B38" s="5" t="s">
        <v>167</v>
      </c>
      <c r="C38" s="5" t="str">
        <f t="shared" si="0"/>
        <v>LPG</v>
      </c>
      <c r="F38" s="5" t="str">
        <f t="shared" si="1"/>
        <v>AGRBIO,AGRCOA,AGRELC,AGRGAS,AGROIL,BIO,COA,COMBIO,COMCOA,COMELC,COMGAS,COMOIL,COMSOL,DSL,ELC,ELCBIO,ELCCOA,ELCGAS,ELCHYD,ELCNUC,ELCOIL,ELCSOL,ELCWIN,GAS,GSL,HET,HFO,HYD,INDBIO,INDCOA,INDELC,INDGAS,INDOIL,INDOXY,KER,LPG</v>
      </c>
    </row>
    <row r="39" spans="1:6">
      <c r="A39" s="5" t="s">
        <v>243</v>
      </c>
      <c r="B39" s="5" t="s">
        <v>244</v>
      </c>
      <c r="C39" s="5" t="str">
        <f t="shared" si="0"/>
        <v>Naphtha</v>
      </c>
      <c r="F39" s="5" t="str">
        <f t="shared" si="1"/>
        <v>AGRBIO,AGRCOA,AGRELC,AGRGAS,AGROIL,BIO,COA,COMBIO,COMCOA,COMELC,COMGAS,COMOIL,COMSOL,DSL,ELC,ELCBIO,ELCCOA,ELCGAS,ELCHYD,ELCNUC,ELCOIL,ELCSOL,ELCWIN,GAS,GSL,HET,HFO,HYD,INDBIO,INDCOA,INDELC,INDGAS,INDOIL,INDOXY,KER,LPG,NAP</v>
      </c>
    </row>
    <row r="40" spans="1:6">
      <c r="A40" s="5" t="s">
        <v>245</v>
      </c>
      <c r="B40" s="5" t="s">
        <v>282</v>
      </c>
      <c r="C40" s="5" t="str">
        <f t="shared" si="0"/>
        <v>Nuclear</v>
      </c>
      <c r="F40" s="5" t="str">
        <f t="shared" si="1"/>
        <v>AGRBIO,AGRCOA,AGRELC,AGRGAS,AGROIL,BIO,COA,COMBIO,COMCOA,COMELC,COMGAS,COMOIL,COMSOL,DSL,ELC,ELCBIO,ELCCOA,ELCGAS,ELCHYD,ELCNUC,ELCOIL,ELCSOL,ELCWIN,GAS,GSL,HET,HFO,HYD,INDBIO,INDCOA,INDELC,INDGAS,INDOIL,INDOXY,KER,LPG,NAP,NUC</v>
      </c>
    </row>
    <row r="41" spans="1:6">
      <c r="A41" s="5" t="s">
        <v>246</v>
      </c>
      <c r="B41" s="5" t="s">
        <v>247</v>
      </c>
      <c r="C41" s="5" t="str">
        <f t="shared" si="0"/>
        <v>Crude Oil</v>
      </c>
      <c r="F41" s="5" t="str">
        <f t="shared" si="1"/>
        <v>AGRBIO,AGRCOA,AGRELC,AGRGAS,AGROIL,BIO,COA,COMBIO,COMCOA,COMELC,COMGAS,COMOIL,COMSOL,DSL,ELC,ELCBIO,ELCCOA,ELCGAS,ELCHYD,ELCNUC,ELCOIL,ELCSOL,ELCWIN,GAS,GSL,HET,HFO,HYD,INDBIO,INDCOA,INDELC,INDGAS,INDOIL,INDOXY,KER,LPG,NAP,NUC,OIL</v>
      </c>
    </row>
    <row r="42" spans="1:6">
      <c r="A42" s="5" t="s">
        <v>248</v>
      </c>
      <c r="B42" s="5" t="s">
        <v>275</v>
      </c>
      <c r="C42" s="5" t="str">
        <f t="shared" si="0"/>
        <v>oth Pet Prod</v>
      </c>
      <c r="F42" s="5" t="str">
        <f t="shared" si="1"/>
        <v>AGRBIO,AGRCOA,AGRELC,AGRGAS,AGROIL,BIO,COA,COMBIO,COMCOA,COMELC,COMGAS,COMOIL,COMSOL,DSL,ELC,ELCBIO,ELCCOA,ELCGAS,ELCHYD,ELCNUC,ELCOIL,ELCSOL,ELCWIN,GAS,GSL,HET,HFO,HYD,INDBIO,INDCOA,INDELC,INDGAS,INDOIL,INDOXY,KER,LPG,NAP,NUC,OIL,OPP</v>
      </c>
    </row>
    <row r="43" spans="1:6">
      <c r="A43" s="5" t="s">
        <v>249</v>
      </c>
      <c r="B43" s="5" t="s">
        <v>250</v>
      </c>
      <c r="C43" s="5" t="str">
        <f t="shared" si="0"/>
        <v>Resi Biomass</v>
      </c>
      <c r="F43" s="5" t="str">
        <f t="shared" si="1"/>
        <v>AGRBIO,AGRCOA,AGRELC,AGRGAS,AGROIL,BIO,COA,COMBIO,COMCOA,COMELC,COMGAS,COMOIL,COMSOL,DSL,ELC,ELCBIO,ELCCOA,ELCGAS,ELCHYD,ELCNUC,ELCOIL,ELCSOL,ELCWIN,GAS,GSL,HET,HFO,HYD,INDBIO,INDCOA,INDELC,INDGAS,INDOIL,INDOXY,KER,LPG,NAP,NUC,OIL,OPP,RSDBIO</v>
      </c>
    </row>
    <row r="44" spans="1:6">
      <c r="A44" s="5" t="s">
        <v>251</v>
      </c>
      <c r="B44" s="5" t="s">
        <v>252</v>
      </c>
      <c r="C44" s="5" t="str">
        <f t="shared" si="0"/>
        <v>Resi Coal</v>
      </c>
      <c r="F44" s="5" t="str">
        <f t="shared" si="1"/>
        <v>AGRBIO,AGRCOA,AGRELC,AGRGAS,AGROIL,BIO,COA,COMBIO,COMCOA,COMELC,COMGAS,COMOIL,COMSOL,DSL,ELC,ELCBIO,ELCCOA,ELCGAS,ELCHYD,ELCNUC,ELCOIL,ELCSOL,ELCWIN,GAS,GSL,HET,HFO,HYD,INDBIO,INDCOA,INDELC,INDGAS,INDOIL,INDOXY,KER,LPG,NAP,NUC,OIL,OPP,RSDBIO,RSDCOA</v>
      </c>
    </row>
    <row r="45" spans="1:6">
      <c r="A45" s="5" t="s">
        <v>253</v>
      </c>
      <c r="B45" s="5" t="s">
        <v>277</v>
      </c>
      <c r="C45" s="5" t="str">
        <f t="shared" si="0"/>
        <v>Resi Solar</v>
      </c>
      <c r="F45" s="5" t="str">
        <f t="shared" si="1"/>
        <v>AGRBIO,AGRCOA,AGRELC,AGRGAS,AGROIL,BIO,COA,COMBIO,COMCOA,COMELC,COMGAS,COMOIL,COMSOL,DSL,ELC,ELCBIO,ELCCOA,ELCGAS,ELCHYD,ELCNUC,ELCOIL,ELCSOL,ELCWIN,GAS,GSL,HET,HFO,HYD,INDBIO,INDCOA,INDELC,INDGAS,INDOIL,INDOXY,KER,LPG,NAP,NUC,OIL,OPP,RSDBIO,RSDCOA,RSDELC</v>
      </c>
    </row>
    <row r="46" spans="1:6">
      <c r="A46" s="5" t="s">
        <v>253</v>
      </c>
      <c r="B46" s="5" t="s">
        <v>254</v>
      </c>
      <c r="C46" s="5" t="str">
        <f t="shared" si="0"/>
        <v>Resi Electricity</v>
      </c>
      <c r="F46" s="5" t="str">
        <f t="shared" si="1"/>
        <v>AGRBIO,AGRCOA,AGRELC,AGRGAS,AGROIL,BIO,COA,COMBIO,COMCOA,COMELC,COMGAS,COMOIL,COMSOL,DSL,ELC,ELCBIO,ELCCOA,ELCGAS,ELCHYD,ELCNUC,ELCOIL,ELCSOL,ELCWIN,GAS,GSL,HET,HFO,HYD,INDBIO,INDCOA,INDELC,INDGAS,INDOIL,INDOXY,KER,LPG,NAP,NUC,OIL,OPP,RSDBIO,RSDCOA,RSDELC,RSDELC</v>
      </c>
    </row>
    <row r="47" spans="1:6">
      <c r="A47" s="5" t="s">
        <v>255</v>
      </c>
      <c r="B47" s="5" t="s">
        <v>256</v>
      </c>
      <c r="C47" s="5" t="str">
        <f t="shared" si="0"/>
        <v>Resi Natural Gas</v>
      </c>
      <c r="F47" s="5" t="str">
        <f t="shared" si="1"/>
        <v>AGRBIO,AGRCOA,AGRELC,AGRGAS,AGROIL,BIO,COA,COMBIO,COMCOA,COMELC,COMGAS,COMOIL,COMSOL,DSL,ELC,ELCBIO,ELCCOA,ELCGAS,ELCHYD,ELCNUC,ELCOIL,ELCSOL,ELCWIN,GAS,GSL,HET,HFO,HYD,INDBIO,INDCOA,INDELC,INDGAS,INDOIL,INDOXY,KER,LPG,NAP,NUC,OIL,OPP,RSDBIO,RSDCOA,RSDELC,RSDELC,RSDGAS</v>
      </c>
    </row>
    <row r="48" spans="1:6">
      <c r="A48" s="5" t="s">
        <v>257</v>
      </c>
      <c r="B48" s="5" t="s">
        <v>276</v>
      </c>
      <c r="C48" s="5" t="str">
        <f t="shared" si="0"/>
        <v>Resi heat</v>
      </c>
      <c r="F48" s="5" t="str">
        <f t="shared" si="1"/>
        <v>AGRBIO,AGRCOA,AGRELC,AGRGAS,AGROIL,BIO,COA,COMBIO,COMCOA,COMELC,COMGAS,COMOIL,COMSOL,DSL,ELC,ELCBIO,ELCCOA,ELCGAS,ELCHYD,ELCNUC,ELCOIL,ELCSOL,ELCWIN,GAS,GSL,HET,HFO,HYD,INDBIO,INDCOA,INDELC,INDGAS,INDOIL,INDOXY,KER,LPG,NAP,NUC,OIL,OPP,RSDBIO,RSDCOA,RSDELC,RSDELC,RSDGAS,RSDHET</v>
      </c>
    </row>
    <row r="49" spans="1:6">
      <c r="A49" s="5" t="s">
        <v>258</v>
      </c>
      <c r="B49" s="5" t="s">
        <v>259</v>
      </c>
      <c r="C49" s="5" t="str">
        <f t="shared" si="0"/>
        <v>Resi Oil</v>
      </c>
      <c r="F49" s="5" t="str">
        <f t="shared" si="1"/>
        <v>AGRBIO,AGRCOA,AGRELC,AGRGAS,AGROIL,BIO,COA,COMBIO,COMCOA,COMELC,COMGAS,COMOIL,COMSOL,DSL,ELC,ELCBIO,ELCCOA,ELCGAS,ELCHYD,ELCNUC,ELCOIL,ELCSOL,ELCWIN,GAS,GSL,HET,HFO,HYD,INDBIO,INDCOA,INDELC,INDGAS,INDOIL,INDOXY,KER,LPG,NAP,NUC,OIL,OPP,RSDBIO,RSDCOA,RSDELC,RSDELC,RSDGAS,RSDHET,RSDOIL</v>
      </c>
    </row>
    <row r="50" spans="1:6">
      <c r="A50" s="5" t="s">
        <v>260</v>
      </c>
      <c r="B50" s="5" t="s">
        <v>277</v>
      </c>
      <c r="C50" s="5" t="str">
        <f t="shared" si="0"/>
        <v>Resi Solar</v>
      </c>
      <c r="F50" s="5" t="str">
        <f t="shared" si="1"/>
        <v>AGRBIO,AGRCOA,AGRELC,AGRGAS,AGROIL,BIO,COA,COMBIO,COMCOA,COMELC,COMGAS,COMOIL,COMSOL,DSL,ELC,ELCBIO,ELCCOA,ELCGAS,ELCHYD,ELCNUC,ELCOIL,ELCSOL,ELCWIN,GAS,GSL,HET,HFO,HYD,INDBIO,INDCOA,INDELC,INDGAS,INDOIL,INDOXY,KER,LPG,NAP,NUC,OIL,OPP,RSDBIO,RSDCOA,RSDELC,RSDELC,RSDGAS,RSDHET,RSDOIL,RSDSOL</v>
      </c>
    </row>
    <row r="51" spans="1:6">
      <c r="A51" s="5" t="s">
        <v>261</v>
      </c>
      <c r="B51" s="5" t="s">
        <v>53</v>
      </c>
      <c r="C51" s="5" t="str">
        <f t="shared" si="0"/>
        <v>Solar</v>
      </c>
      <c r="F51" s="5" t="str">
        <f t="shared" si="1"/>
        <v>AGRBIO,AGRCOA,AGRELC,AGRGAS,AGROIL,BIO,COA,COMBIO,COMCOA,COMELC,COMGAS,COMOIL,COMSOL,DSL,ELC,ELCBIO,ELCCOA,ELCGAS,ELCHYD,ELCNUC,ELCOIL,ELCSOL,ELCWIN,GAS,GSL,HET,HFO,HYD,INDBIO,INDCOA,INDELC,INDGAS,INDOIL,INDOXY,KER,LPG,NAP,NUC,OIL,OPP,RSDBIO,RSDCOA,RSDELC,RSDELC,RSDGAS,RSDHET,RSDOIL,RSDSOL,SOL</v>
      </c>
    </row>
    <row r="52" spans="1:6">
      <c r="A52" s="5" t="s">
        <v>262</v>
      </c>
      <c r="B52" s="5" t="s">
        <v>263</v>
      </c>
      <c r="C52" s="5" t="str">
        <f t="shared" si="0"/>
        <v>Tra Biofuels</v>
      </c>
      <c r="F52" s="5" t="str">
        <f t="shared" si="1"/>
        <v>AGRBIO,AGRCOA,AGRELC,AGRGAS,AGROIL,BIO,COA,COMBIO,COMCOA,COMELC,COMGAS,COMOIL,COMSOL,DSL,ELC,ELCBIO,ELCCOA,ELCGAS,ELCHYD,ELCNUC,ELCOIL,ELCSOL,ELCWIN,GAS,GSL,HET,HFO,HYD,INDBIO,INDCOA,INDELC,INDGAS,INDOIL,INDOXY,KER,LPG,NAP,NUC,OIL,OPP,RSDBIO,RSDCOA,RSDELC,RSDELC,RSDGAS,RSDHET,RSDOIL,RSDSOL,SOL,TRABIO</v>
      </c>
    </row>
    <row r="53" spans="1:6">
      <c r="A53" s="5" t="s">
        <v>264</v>
      </c>
      <c r="B53" s="5" t="s">
        <v>265</v>
      </c>
      <c r="C53" s="5" t="str">
        <f t="shared" si="0"/>
        <v>Tra Diesel oil</v>
      </c>
      <c r="F53" s="5" t="str">
        <f t="shared" si="1"/>
        <v>AGRBIO,AGRCOA,AGRELC,AGRGAS,AGROIL,BIO,COA,COMBIO,COMCOA,COMELC,COMGAS,COMOIL,COMSOL,DSL,ELC,ELCBIO,ELCCOA,ELCGAS,ELCHYD,ELCNUC,ELCOIL,ELCSOL,ELCWIN,GAS,GSL,HET,HFO,HYD,INDBIO,INDCOA,INDELC,INDGAS,INDOIL,INDOXY,KER,LPG,NAP,NUC,OIL,OPP,RSDBIO,RSDCOA,RSDELC,RSDELC,RSDGAS,RSDHET,RSDOIL,RSDSOL,SOL,TRABIO,TRADSL</v>
      </c>
    </row>
    <row r="54" spans="1:6">
      <c r="A54" s="5" t="s">
        <v>266</v>
      </c>
      <c r="B54" s="5" t="s">
        <v>267</v>
      </c>
      <c r="C54" s="5" t="str">
        <f t="shared" si="0"/>
        <v>Tra Electricity</v>
      </c>
      <c r="F54" s="5" t="str">
        <f t="shared" si="1"/>
        <v>AGRBIO,AGRCOA,AGRELC,AGRGAS,AGROIL,BIO,COA,COMBIO,COMCOA,COMELC,COMGAS,COMOIL,COMSOL,DSL,ELC,ELCBIO,ELCCOA,ELCGAS,ELCHYD,ELCNUC,ELCOIL,ELCSOL,ELCWIN,GAS,GSL,HET,HFO,HYD,INDBIO,INDCOA,INDELC,INDGAS,INDOIL,INDOXY,KER,LPG,NAP,NUC,OIL,OPP,RSDBIO,RSDCOA,RSDELC,RSDELC,RSDGAS,RSDHET,RSDOIL,RSDSOL,SOL,TRABIO,TRADSL,TRAELC</v>
      </c>
    </row>
    <row r="55" spans="1:6">
      <c r="A55" s="5" t="s">
        <v>268</v>
      </c>
      <c r="B55" s="5" t="s">
        <v>269</v>
      </c>
      <c r="C55" s="5" t="str">
        <f t="shared" si="0"/>
        <v>Tra Natural Gas</v>
      </c>
      <c r="F55" s="5" t="str">
        <f t="shared" si="1"/>
        <v>AGRBIO,AGRCOA,AGRELC,AGRGAS,AGROIL,BIO,COA,COMBIO,COMCOA,COMELC,COMGAS,COMOIL,COMSOL,DSL,ELC,ELCBIO,ELCCOA,ELCGAS,ELCHYD,ELCNUC,ELCOIL,ELCSOL,ELCWIN,GAS,GSL,HET,HFO,HYD,INDBIO,INDCOA,INDELC,INDGAS,INDOIL,INDOXY,KER,LPG,NAP,NUC,OIL,OPP,RSDBIO,RSDCOA,RSDELC,RSDELC,RSDGAS,RSDHET,RSDOIL,RSDSOL,SOL,TRABIO,TRADSL,TRAELC,TRAGAS</v>
      </c>
    </row>
    <row r="56" spans="1:6">
      <c r="A56" s="5" t="s">
        <v>270</v>
      </c>
      <c r="B56" s="5" t="s">
        <v>271</v>
      </c>
      <c r="C56" s="5" t="str">
        <f t="shared" si="0"/>
        <v>Tra Motor spirit</v>
      </c>
      <c r="F56" s="5" t="str">
        <f t="shared" si="1"/>
        <v>AGRBIO,AGRCOA,AGRELC,AGRGAS,AGROIL,BIO,COA,COMBIO,COMCOA,COMELC,COMGAS,COMOIL,COMSOL,DSL,ELC,ELCBIO,ELCCOA,ELCGAS,ELCHYD,ELCNUC,ELCOIL,ELCSOL,ELCWIN,GAS,GSL,HET,HFO,HYD,INDBIO,INDCOA,INDELC,INDGAS,INDOIL,INDOXY,KER,LPG,NAP,NUC,OIL,OPP,RSDBIO,RSDCOA,RSDELC,RSDELC,RSDGAS,RSDHET,RSDOIL,RSDSOL,SOL,TRABIO,TRADSL,TRAELC,TRAGAS,TRAGSL</v>
      </c>
    </row>
    <row r="57" spans="1:6">
      <c r="A57" s="5" t="s">
        <v>272</v>
      </c>
      <c r="B57" s="5" t="s">
        <v>273</v>
      </c>
      <c r="C57" s="5" t="str">
        <f t="shared" si="0"/>
        <v>Tra LPG</v>
      </c>
      <c r="F57" s="5" t="str">
        <f t="shared" si="1"/>
        <v>AGRBIO,AGRCOA,AGRELC,AGRGAS,AGROIL,BIO,COA,COMBIO,COMCOA,COMELC,COMGAS,COMOIL,COMSOL,DSL,ELC,ELCBIO,ELCCOA,ELCGAS,ELCHYD,ELCNUC,ELCOIL,ELCSOL,ELCWIN,GAS,GSL,HET,HFO,HYD,INDBIO,INDCOA,INDELC,INDGAS,INDOIL,INDOXY,KER,LPG,NAP,NUC,OIL,OPP,RSDBIO,RSDCOA,RSDELC,RSDELC,RSDGAS,RSDHET,RSDOIL,RSDSOL,SOL,TRABIO,TRADSL,TRAELC,TRAGAS,TRAGSL,TRALPG</v>
      </c>
    </row>
    <row r="58" spans="1:6">
      <c r="A58" s="5" t="s">
        <v>274</v>
      </c>
      <c r="B58" s="5" t="s">
        <v>62</v>
      </c>
      <c r="C58" s="5" t="str">
        <f t="shared" si="0"/>
        <v>Wind</v>
      </c>
      <c r="F58" s="5" t="str">
        <f t="shared" si="1"/>
        <v>AGRBIO,AGRCOA,AGRELC,AGRGAS,AGROIL,BIO,COA,COMBIO,COMCOA,COMELC,COMGAS,COMOIL,COMSOL,DSL,ELC,ELCBIO,ELCCOA,ELCGAS,ELCHYD,ELCNUC,ELCOIL,ELCSOL,ELCWIN,GAS,GSL,HET,HFO,HYD,INDBIO,INDCOA,INDELC,INDGAS,INDOIL,INDOXY,KER,LPG,NAP,NUC,OIL,OPP,RSDBIO,RSDCOA,RSDELC,RSDELC,RSDGAS,RSDHET,RSDOIL,RSDSOL,SOL,TRABIO,TRADSL,TRAELC,TRAGAS,TRAGSL,TRALPG,WIN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C3"/>
  <sheetViews>
    <sheetView zoomScaleNormal="100" workbookViewId="0">
      <pane ySplit="2" topLeftCell="A3" activePane="bottomLeft" state="frozen"/>
      <selection pane="bottomLeft" activeCell="A3" sqref="A3:A29"/>
    </sheetView>
  </sheetViews>
  <sheetFormatPr defaultRowHeight="15"/>
  <cols>
    <col min="1" max="1" width="13.7109375" style="3" bestFit="1" customWidth="1"/>
    <col min="2" max="2" width="23.5703125" style="3" bestFit="1" customWidth="1"/>
    <col min="3" max="3" width="22" style="3" bestFit="1" customWidth="1"/>
    <col min="4" max="16384" width="9.140625" style="3"/>
  </cols>
  <sheetData>
    <row r="1" spans="1:3">
      <c r="A1" s="5" t="s">
        <v>39</v>
      </c>
      <c r="B1" s="5"/>
      <c r="C1" s="5"/>
    </row>
    <row r="2" spans="1:3">
      <c r="A2" s="5" t="s">
        <v>40</v>
      </c>
      <c r="B2" s="5" t="s">
        <v>41</v>
      </c>
      <c r="C2" s="5" t="s">
        <v>42</v>
      </c>
    </row>
    <row r="3" spans="1:3">
      <c r="B3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30"/>
  <sheetViews>
    <sheetView workbookViewId="0">
      <selection activeCell="F13" sqref="F13"/>
    </sheetView>
  </sheetViews>
  <sheetFormatPr defaultRowHeight="15"/>
  <cols>
    <col min="1" max="1" width="10.7109375" customWidth="1"/>
    <col min="2" max="2" width="22.28515625" bestFit="1" customWidth="1"/>
    <col min="3" max="3" width="11.140625" bestFit="1" customWidth="1"/>
    <col min="5" max="5" width="11.140625" bestFit="1" customWidth="1"/>
    <col min="6" max="6" width="8.140625" bestFit="1" customWidth="1"/>
  </cols>
  <sheetData>
    <row r="1" spans="1:6">
      <c r="A1" s="5" t="s">
        <v>176</v>
      </c>
      <c r="B1" s="5"/>
      <c r="C1" s="5"/>
      <c r="D1" s="5"/>
      <c r="E1" s="5"/>
      <c r="F1" s="5"/>
    </row>
    <row r="2" spans="1:6">
      <c r="A2" s="5" t="s">
        <v>40</v>
      </c>
      <c r="B2" s="5" t="s">
        <v>41</v>
      </c>
      <c r="C2" s="5" t="s">
        <v>42</v>
      </c>
      <c r="D2" s="5"/>
      <c r="E2" s="5"/>
      <c r="F2" s="5"/>
    </row>
    <row r="3" spans="1:6">
      <c r="A3" s="5" t="s">
        <v>177</v>
      </c>
      <c r="B3" s="5" t="str">
        <f t="shared" ref="B3:B12" si="0">E3&amp;",*"&amp;MID(F3,4,3)</f>
        <v>Biofuel,*ETH</v>
      </c>
      <c r="C3" s="5" t="str">
        <f t="shared" ref="C3:C11" si="1">E3</f>
        <v>Biofuel</v>
      </c>
      <c r="D3" s="5"/>
      <c r="E3" s="6" t="s">
        <v>145</v>
      </c>
      <c r="F3" s="6" t="s">
        <v>163</v>
      </c>
    </row>
    <row r="4" spans="1:6">
      <c r="A4" s="5" t="s">
        <v>177</v>
      </c>
      <c r="B4" s="5" t="str">
        <f t="shared" si="0"/>
        <v>Coal,*COA</v>
      </c>
      <c r="C4" s="5" t="str">
        <f t="shared" si="1"/>
        <v>Coal</v>
      </c>
      <c r="D4" s="5"/>
      <c r="E4" s="6" t="s">
        <v>47</v>
      </c>
      <c r="F4" s="6" t="s">
        <v>160</v>
      </c>
    </row>
    <row r="5" spans="1:6">
      <c r="A5" s="5" t="s">
        <v>177</v>
      </c>
      <c r="B5" s="5" t="str">
        <f t="shared" si="0"/>
        <v>Diesel,*DSL</v>
      </c>
      <c r="C5" s="5" t="str">
        <f t="shared" si="1"/>
        <v>Diesel</v>
      </c>
      <c r="D5" s="5"/>
      <c r="E5" s="6" t="s">
        <v>148</v>
      </c>
      <c r="F5" s="6" t="s">
        <v>161</v>
      </c>
    </row>
    <row r="6" spans="1:6">
      <c r="A6" s="5" t="s">
        <v>177</v>
      </c>
      <c r="B6" s="5" t="str">
        <f>E6&amp;",*"&amp;MID(F6,4,3)</f>
        <v>Biodiesel,*BDL</v>
      </c>
      <c r="C6" s="5" t="str">
        <f>E6</f>
        <v>Biodiesel</v>
      </c>
      <c r="D6" s="5"/>
      <c r="E6" s="6" t="s">
        <v>144</v>
      </c>
      <c r="F6" s="6" t="s">
        <v>159</v>
      </c>
    </row>
    <row r="7" spans="1:6">
      <c r="A7" s="5" t="s">
        <v>177</v>
      </c>
      <c r="B7" s="5" t="str">
        <f t="shared" si="0"/>
        <v>Electricity,*ELC</v>
      </c>
      <c r="C7" s="5" t="str">
        <f t="shared" si="1"/>
        <v>Electricity</v>
      </c>
      <c r="D7" s="5"/>
      <c r="E7" s="6" t="s">
        <v>147</v>
      </c>
      <c r="F7" s="6" t="s">
        <v>162</v>
      </c>
    </row>
    <row r="8" spans="1:6">
      <c r="A8" s="5" t="s">
        <v>177</v>
      </c>
      <c r="B8" s="5" t="str">
        <f t="shared" si="0"/>
        <v>Fuel Oil,*OIL</v>
      </c>
      <c r="C8" s="5" t="str">
        <f t="shared" si="1"/>
        <v>Fuel Oil</v>
      </c>
      <c r="D8" s="5"/>
      <c r="E8" s="6" t="s">
        <v>158</v>
      </c>
      <c r="F8" s="6" t="s">
        <v>168</v>
      </c>
    </row>
    <row r="9" spans="1:6">
      <c r="A9" s="5" t="s">
        <v>177</v>
      </c>
      <c r="B9" s="5" t="str">
        <f t="shared" si="0"/>
        <v>LPG,*LPG</v>
      </c>
      <c r="C9" s="5" t="str">
        <f t="shared" si="1"/>
        <v>LPG</v>
      </c>
      <c r="D9" s="5"/>
      <c r="E9" s="6" t="s">
        <v>167</v>
      </c>
      <c r="F9" s="6" t="s">
        <v>166</v>
      </c>
    </row>
    <row r="10" spans="1:6">
      <c r="A10" s="5" t="s">
        <v>177</v>
      </c>
      <c r="B10" s="5" t="str">
        <f t="shared" si="0"/>
        <v>Natural Gas,*GAS</v>
      </c>
      <c r="C10" s="5" t="str">
        <f t="shared" si="1"/>
        <v>Natural Gas</v>
      </c>
      <c r="D10" s="5"/>
      <c r="E10" s="6" t="s">
        <v>153</v>
      </c>
      <c r="F10" s="6" t="s">
        <v>164</v>
      </c>
    </row>
    <row r="11" spans="1:6">
      <c r="A11" s="5" t="s">
        <v>177</v>
      </c>
      <c r="B11" s="5" t="str">
        <f t="shared" si="0"/>
        <v>Petrol,*GSL</v>
      </c>
      <c r="C11" s="5" t="str">
        <f t="shared" si="1"/>
        <v>Petrol</v>
      </c>
      <c r="D11" s="5"/>
      <c r="E11" s="6" t="s">
        <v>171</v>
      </c>
      <c r="F11" s="6" t="s">
        <v>165</v>
      </c>
    </row>
    <row r="12" spans="1:6">
      <c r="A12" s="5" t="s">
        <v>177</v>
      </c>
      <c r="B12" s="5" t="str">
        <f t="shared" si="0"/>
        <v>Hydrogen,*HH2</v>
      </c>
      <c r="C12" s="5" t="str">
        <f>E12</f>
        <v>Hydrogen</v>
      </c>
      <c r="D12" s="5"/>
      <c r="E12" s="5" t="s">
        <v>143</v>
      </c>
      <c r="F12" s="6" t="s">
        <v>154</v>
      </c>
    </row>
    <row r="13" spans="1:6">
      <c r="A13" s="5" t="s">
        <v>177</v>
      </c>
      <c r="B13" s="5" t="str">
        <f>E13</f>
        <v>Jet Fuel</v>
      </c>
      <c r="C13" s="5" t="str">
        <f>E13</f>
        <v>Jet Fuel</v>
      </c>
      <c r="D13" s="5"/>
      <c r="E13" s="5" t="s">
        <v>169</v>
      </c>
      <c r="F13" s="5"/>
    </row>
    <row r="14" spans="1:6">
      <c r="A14" s="5" t="s">
        <v>177</v>
      </c>
      <c r="B14" s="5" t="str">
        <f>E14</f>
        <v>Kerosene</v>
      </c>
      <c r="C14" s="5" t="str">
        <f>E14</f>
        <v>Kerosene</v>
      </c>
      <c r="D14" s="5"/>
      <c r="E14" s="5" t="s">
        <v>170</v>
      </c>
      <c r="F14" s="5"/>
    </row>
    <row r="15" spans="1:6">
      <c r="A15" s="5" t="s">
        <v>177</v>
      </c>
      <c r="B15" s="5" t="s">
        <v>181</v>
      </c>
      <c r="C15" s="5" t="s">
        <v>46</v>
      </c>
      <c r="D15" s="5"/>
      <c r="E15" s="5"/>
      <c r="F15" s="5"/>
    </row>
    <row r="16" spans="1:6">
      <c r="A16" s="5" t="s">
        <v>177</v>
      </c>
      <c r="B16" s="5" t="s">
        <v>182</v>
      </c>
      <c r="C16" s="5" t="s">
        <v>178</v>
      </c>
      <c r="D16" s="5"/>
      <c r="E16" s="5"/>
      <c r="F16" s="5"/>
    </row>
    <row r="17" spans="1:6">
      <c r="A17" s="5" t="s">
        <v>179</v>
      </c>
      <c r="B17" s="5" t="str">
        <f>B3</f>
        <v>Biofuel,*ETH</v>
      </c>
      <c r="C17" s="5" t="s">
        <v>180</v>
      </c>
      <c r="D17" s="5"/>
      <c r="E17" s="5"/>
      <c r="F17" s="5"/>
    </row>
    <row r="18" spans="1:6">
      <c r="A18" s="5" t="s">
        <v>179</v>
      </c>
      <c r="B18" s="5" t="str">
        <f t="shared" ref="B18:B29" si="2">B4</f>
        <v>Coal,*COA</v>
      </c>
      <c r="C18" s="5" t="s">
        <v>47</v>
      </c>
      <c r="D18" s="5"/>
      <c r="E18" s="5"/>
      <c r="F18" s="5"/>
    </row>
    <row r="19" spans="1:6">
      <c r="A19" s="5" t="s">
        <v>179</v>
      </c>
      <c r="B19" s="5" t="str">
        <f t="shared" si="2"/>
        <v>Diesel,*DSL</v>
      </c>
      <c r="C19" s="5" t="s">
        <v>48</v>
      </c>
      <c r="D19" s="5"/>
      <c r="E19" s="5"/>
      <c r="F19" s="5"/>
    </row>
    <row r="20" spans="1:6">
      <c r="A20" s="5" t="s">
        <v>179</v>
      </c>
      <c r="B20" s="5" t="str">
        <f t="shared" si="2"/>
        <v>Biodiesel,*BDL</v>
      </c>
      <c r="C20" s="5" t="s">
        <v>180</v>
      </c>
      <c r="D20" s="5"/>
      <c r="E20" s="5"/>
      <c r="F20" s="5"/>
    </row>
    <row r="21" spans="1:6">
      <c r="A21" s="5" t="s">
        <v>179</v>
      </c>
      <c r="B21" s="5" t="str">
        <f t="shared" si="2"/>
        <v>Electricity,*ELC</v>
      </c>
      <c r="C21" s="5" t="s">
        <v>147</v>
      </c>
      <c r="D21" s="5"/>
      <c r="E21" s="5"/>
      <c r="F21" s="5"/>
    </row>
    <row r="22" spans="1:6">
      <c r="A22" s="5" t="s">
        <v>179</v>
      </c>
      <c r="B22" s="5" t="str">
        <f t="shared" si="2"/>
        <v>Fuel Oil,*OIL</v>
      </c>
      <c r="C22" s="5" t="s">
        <v>48</v>
      </c>
      <c r="D22" s="5"/>
      <c r="E22" s="5"/>
      <c r="F22" s="5"/>
    </row>
    <row r="23" spans="1:6">
      <c r="A23" s="5" t="s">
        <v>179</v>
      </c>
      <c r="B23" s="5" t="str">
        <f t="shared" si="2"/>
        <v>LPG,*LPG</v>
      </c>
      <c r="C23" s="5" t="s">
        <v>48</v>
      </c>
      <c r="D23" s="5"/>
      <c r="E23" s="5"/>
      <c r="F23" s="5"/>
    </row>
    <row r="24" spans="1:6">
      <c r="A24" s="5" t="s">
        <v>179</v>
      </c>
      <c r="B24" s="5" t="str">
        <f t="shared" si="2"/>
        <v>Natural Gas,*GAS</v>
      </c>
      <c r="C24" s="5" t="s">
        <v>49</v>
      </c>
      <c r="D24" s="5"/>
      <c r="E24" s="5"/>
      <c r="F24" s="5"/>
    </row>
    <row r="25" spans="1:6">
      <c r="A25" s="5" t="s">
        <v>179</v>
      </c>
      <c r="B25" s="5" t="str">
        <f t="shared" si="2"/>
        <v>Petrol,*GSL</v>
      </c>
      <c r="C25" s="5" t="s">
        <v>48</v>
      </c>
      <c r="D25" s="5"/>
      <c r="E25" s="5"/>
      <c r="F25" s="5"/>
    </row>
    <row r="26" spans="1:6">
      <c r="A26" s="5" t="s">
        <v>179</v>
      </c>
      <c r="B26" s="5" t="str">
        <f t="shared" si="2"/>
        <v>Hydrogen,*HH2</v>
      </c>
      <c r="C26" s="5" t="s">
        <v>143</v>
      </c>
      <c r="D26" s="5"/>
      <c r="E26" s="5"/>
      <c r="F26" s="5"/>
    </row>
    <row r="27" spans="1:6">
      <c r="A27" s="5" t="s">
        <v>179</v>
      </c>
      <c r="B27" s="5" t="str">
        <f t="shared" si="2"/>
        <v>Jet Fuel</v>
      </c>
      <c r="C27" s="5" t="s">
        <v>48</v>
      </c>
      <c r="D27" s="5"/>
      <c r="E27" s="5"/>
      <c r="F27" s="5"/>
    </row>
    <row r="28" spans="1:6">
      <c r="A28" s="5" t="s">
        <v>179</v>
      </c>
      <c r="B28" s="5" t="str">
        <f t="shared" si="2"/>
        <v>Kerosene</v>
      </c>
      <c r="C28" s="5" t="s">
        <v>48</v>
      </c>
      <c r="D28" s="5"/>
      <c r="E28" s="5"/>
      <c r="F28" s="5"/>
    </row>
    <row r="29" spans="1:6">
      <c r="A29" s="5" t="s">
        <v>179</v>
      </c>
      <c r="B29" s="5" t="str">
        <f t="shared" si="2"/>
        <v>???BIO,Biomass</v>
      </c>
      <c r="C29" s="5" t="s">
        <v>180</v>
      </c>
      <c r="D29" s="5"/>
      <c r="E29" s="5"/>
      <c r="F29" s="5"/>
    </row>
    <row r="30" spans="1:6">
      <c r="A30" s="5" t="s">
        <v>179</v>
      </c>
      <c r="B30" s="5" t="str">
        <f>B16</f>
        <v>???SOL,???HYD,???WIN,???GEO</v>
      </c>
      <c r="C30" s="5" t="s">
        <v>178</v>
      </c>
      <c r="D30" s="5"/>
      <c r="E30" s="5"/>
      <c r="F30" s="5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C42"/>
  <sheetViews>
    <sheetView zoomScaleNormal="100" workbookViewId="0">
      <pane ySplit="2" topLeftCell="A3" activePane="bottomLeft" state="frozen"/>
      <selection pane="bottomLeft" activeCell="A17" sqref="A17"/>
    </sheetView>
  </sheetViews>
  <sheetFormatPr defaultRowHeight="15"/>
  <cols>
    <col min="1" max="1" width="11.28515625" style="5" bestFit="1" customWidth="1"/>
    <col min="2" max="2" width="14" style="5" bestFit="1" customWidth="1"/>
    <col min="3" max="3" width="22" style="5" bestFit="1" customWidth="1"/>
    <col min="4" max="4" width="9.140625" style="5"/>
    <col min="5" max="5" width="18.42578125" style="5" bestFit="1" customWidth="1"/>
    <col min="6" max="16384" width="9.140625" style="5"/>
  </cols>
  <sheetData>
    <row r="1" spans="1:3">
      <c r="A1" s="5" t="s">
        <v>67</v>
      </c>
    </row>
    <row r="2" spans="1:3">
      <c r="A2" s="5" t="s">
        <v>40</v>
      </c>
      <c r="B2" s="5" t="s">
        <v>41</v>
      </c>
      <c r="C2" s="5" t="s">
        <v>42</v>
      </c>
    </row>
    <row r="3" spans="1:3">
      <c r="A3" s="5" t="s">
        <v>66</v>
      </c>
      <c r="B3" s="5" t="s">
        <v>183</v>
      </c>
      <c r="C3" s="5" t="s">
        <v>46</v>
      </c>
    </row>
    <row r="4" spans="1:3">
      <c r="A4" s="5" t="s">
        <v>66</v>
      </c>
      <c r="B4" s="5" t="s">
        <v>184</v>
      </c>
      <c r="C4" s="5" t="s">
        <v>47</v>
      </c>
    </row>
    <row r="5" spans="1:3">
      <c r="A5" s="5" t="s">
        <v>66</v>
      </c>
      <c r="B5" s="5" t="s">
        <v>48</v>
      </c>
      <c r="C5" s="5" t="s">
        <v>48</v>
      </c>
    </row>
    <row r="6" spans="1:3">
      <c r="A6" s="5" t="s">
        <v>66</v>
      </c>
      <c r="B6" s="5" t="s">
        <v>49</v>
      </c>
      <c r="C6" s="5" t="s">
        <v>49</v>
      </c>
    </row>
    <row r="7" spans="1:3">
      <c r="A7" s="5" t="s">
        <v>66</v>
      </c>
      <c r="B7" s="5" t="s">
        <v>130</v>
      </c>
      <c r="C7" s="5" t="s">
        <v>130</v>
      </c>
    </row>
    <row r="8" spans="1:3">
      <c r="A8" s="5" t="s">
        <v>66</v>
      </c>
      <c r="B8" s="5" t="s">
        <v>131</v>
      </c>
      <c r="C8" s="5" t="s">
        <v>131</v>
      </c>
    </row>
    <row r="9" spans="1:3">
      <c r="A9" s="5" t="s">
        <v>66</v>
      </c>
      <c r="B9" s="5" t="s">
        <v>50</v>
      </c>
      <c r="C9" s="5" t="s">
        <v>50</v>
      </c>
    </row>
    <row r="10" spans="1:3">
      <c r="A10" s="5" t="s">
        <v>66</v>
      </c>
      <c r="B10" s="5" t="s">
        <v>185</v>
      </c>
      <c r="C10" s="5" t="s">
        <v>143</v>
      </c>
    </row>
    <row r="11" spans="1:3">
      <c r="A11" s="5" t="s">
        <v>66</v>
      </c>
      <c r="B11" s="5" t="s">
        <v>51</v>
      </c>
      <c r="C11" s="5" t="s">
        <v>51</v>
      </c>
    </row>
    <row r="12" spans="1:3">
      <c r="A12" s="5" t="s">
        <v>66</v>
      </c>
      <c r="B12" s="5" t="s">
        <v>52</v>
      </c>
      <c r="C12" s="5" t="s">
        <v>52</v>
      </c>
    </row>
    <row r="13" spans="1:3">
      <c r="A13" s="5" t="s">
        <v>66</v>
      </c>
      <c r="B13" s="5" t="s">
        <v>62</v>
      </c>
      <c r="C13" s="5" t="s">
        <v>62</v>
      </c>
    </row>
    <row r="14" spans="1:3">
      <c r="A14" s="5" t="s">
        <v>66</v>
      </c>
      <c r="B14" s="5" t="s">
        <v>53</v>
      </c>
      <c r="C14" s="5" t="s">
        <v>53</v>
      </c>
    </row>
    <row r="15" spans="1:3">
      <c r="A15" s="5" t="s">
        <v>66</v>
      </c>
      <c r="B15" s="5" t="s">
        <v>63</v>
      </c>
      <c r="C15" s="5" t="s">
        <v>63</v>
      </c>
    </row>
    <row r="16" spans="1:3">
      <c r="A16" s="5" t="s">
        <v>66</v>
      </c>
      <c r="B16" s="5" t="s">
        <v>133</v>
      </c>
      <c r="C16" s="5" t="s">
        <v>133</v>
      </c>
    </row>
    <row r="17" spans="1:3">
      <c r="A17" s="5" t="s">
        <v>66</v>
      </c>
      <c r="B17" s="5" t="s">
        <v>137</v>
      </c>
      <c r="C17" s="5" t="s">
        <v>138</v>
      </c>
    </row>
    <row r="18" spans="1:3">
      <c r="A18" s="5" t="s">
        <v>66</v>
      </c>
      <c r="B18" s="5" t="s">
        <v>135</v>
      </c>
      <c r="C18" s="5" t="str">
        <f>B18</f>
        <v>Interconnectors</v>
      </c>
    </row>
    <row r="19" spans="1:3">
      <c r="A19" s="5" t="s">
        <v>68</v>
      </c>
      <c r="B19" s="5" t="s">
        <v>38</v>
      </c>
      <c r="C19" s="5" t="str">
        <f>B19</f>
        <v>Final Energy</v>
      </c>
    </row>
    <row r="20" spans="1:3">
      <c r="A20" s="5" t="s">
        <v>68</v>
      </c>
      <c r="B20" s="5" t="s">
        <v>69</v>
      </c>
      <c r="C20" s="5" t="s">
        <v>77</v>
      </c>
    </row>
    <row r="21" spans="1:3">
      <c r="A21" s="5" t="s">
        <v>68</v>
      </c>
      <c r="B21" s="5" t="s">
        <v>70</v>
      </c>
      <c r="C21" s="5" t="s">
        <v>78</v>
      </c>
    </row>
    <row r="22" spans="1:3">
      <c r="A22" s="5" t="s">
        <v>68</v>
      </c>
      <c r="B22" s="5" t="s">
        <v>86</v>
      </c>
      <c r="C22" s="5" t="s">
        <v>79</v>
      </c>
    </row>
    <row r="23" spans="1:3">
      <c r="A23" s="5" t="s">
        <v>68</v>
      </c>
      <c r="B23" s="5" t="s">
        <v>74</v>
      </c>
      <c r="C23" s="5" t="s">
        <v>80</v>
      </c>
    </row>
    <row r="24" spans="1:3">
      <c r="A24" s="5" t="s">
        <v>68</v>
      </c>
      <c r="B24" s="5" t="s">
        <v>75</v>
      </c>
      <c r="C24" s="5" t="s">
        <v>81</v>
      </c>
    </row>
    <row r="25" spans="1:3">
      <c r="A25" s="5" t="s">
        <v>68</v>
      </c>
      <c r="B25" s="5" t="s">
        <v>59</v>
      </c>
      <c r="C25" s="5" t="s">
        <v>81</v>
      </c>
    </row>
    <row r="26" spans="1:3">
      <c r="A26" s="5" t="s">
        <v>68</v>
      </c>
      <c r="B26" s="5" t="s">
        <v>76</v>
      </c>
      <c r="C26" s="5" t="s">
        <v>58</v>
      </c>
    </row>
    <row r="27" spans="1:3">
      <c r="A27" s="5" t="s">
        <v>68</v>
      </c>
      <c r="B27" s="5" t="s">
        <v>64</v>
      </c>
      <c r="C27" s="5" t="str">
        <f>B27</f>
        <v>LCOE</v>
      </c>
    </row>
    <row r="28" spans="1:3">
      <c r="A28" s="5" t="s">
        <v>82</v>
      </c>
      <c r="B28" s="5" t="s">
        <v>71</v>
      </c>
      <c r="C28" s="5" t="s">
        <v>83</v>
      </c>
    </row>
    <row r="29" spans="1:3">
      <c r="A29" s="5" t="s">
        <v>82</v>
      </c>
      <c r="B29" s="5" t="s">
        <v>72</v>
      </c>
      <c r="C29" s="5" t="s">
        <v>84</v>
      </c>
    </row>
    <row r="30" spans="1:3">
      <c r="A30" s="5" t="s">
        <v>82</v>
      </c>
      <c r="B30" s="5" t="s">
        <v>73</v>
      </c>
      <c r="C30" s="5" t="s">
        <v>85</v>
      </c>
    </row>
    <row r="31" spans="1:3">
      <c r="A31" s="5" t="s">
        <v>82</v>
      </c>
      <c r="B31" s="5" t="s">
        <v>87</v>
      </c>
      <c r="C31" s="5" t="s">
        <v>88</v>
      </c>
    </row>
    <row r="32" spans="1:3">
      <c r="A32" s="5" t="s">
        <v>193</v>
      </c>
      <c r="B32" s="5" t="s">
        <v>183</v>
      </c>
      <c r="C32" s="5" t="s">
        <v>46</v>
      </c>
    </row>
    <row r="33" spans="1:3">
      <c r="A33" s="5" t="s">
        <v>193</v>
      </c>
      <c r="B33" s="5" t="s">
        <v>184</v>
      </c>
      <c r="C33" s="5" t="s">
        <v>47</v>
      </c>
    </row>
    <row r="34" spans="1:3">
      <c r="A34" s="5" t="s">
        <v>193</v>
      </c>
      <c r="B34" s="5" t="s">
        <v>48</v>
      </c>
      <c r="C34" s="5" t="s">
        <v>48</v>
      </c>
    </row>
    <row r="35" spans="1:3">
      <c r="A35" s="5" t="s">
        <v>193</v>
      </c>
      <c r="B35" s="5" t="s">
        <v>49</v>
      </c>
      <c r="C35" s="5" t="s">
        <v>49</v>
      </c>
    </row>
    <row r="36" spans="1:3">
      <c r="A36" s="5" t="s">
        <v>193</v>
      </c>
      <c r="B36" s="5" t="s">
        <v>50</v>
      </c>
      <c r="C36" s="5" t="s">
        <v>50</v>
      </c>
    </row>
    <row r="37" spans="1:3">
      <c r="A37" s="5" t="s">
        <v>193</v>
      </c>
      <c r="B37" s="5" t="s">
        <v>185</v>
      </c>
      <c r="C37" s="5" t="s">
        <v>143</v>
      </c>
    </row>
    <row r="38" spans="1:3">
      <c r="A38" s="5" t="s">
        <v>193</v>
      </c>
      <c r="B38" s="5" t="s">
        <v>51</v>
      </c>
      <c r="C38" s="5" t="s">
        <v>51</v>
      </c>
    </row>
    <row r="39" spans="1:3">
      <c r="A39" s="5" t="s">
        <v>193</v>
      </c>
      <c r="B39" s="5" t="s">
        <v>191</v>
      </c>
      <c r="C39" s="5" t="s">
        <v>192</v>
      </c>
    </row>
    <row r="40" spans="1:3">
      <c r="A40" s="5" t="s">
        <v>193</v>
      </c>
      <c r="B40" s="5" t="s">
        <v>63</v>
      </c>
      <c r="C40" s="5" t="s">
        <v>63</v>
      </c>
    </row>
    <row r="41" spans="1:3">
      <c r="A41" s="5" t="s">
        <v>193</v>
      </c>
      <c r="B41" s="5" t="s">
        <v>137</v>
      </c>
      <c r="C41" s="5" t="s">
        <v>138</v>
      </c>
    </row>
    <row r="42" spans="1:3">
      <c r="A42" s="5" t="s">
        <v>193</v>
      </c>
      <c r="B42" s="5" t="s">
        <v>135</v>
      </c>
      <c r="C42" s="5" t="s">
        <v>135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C38"/>
  <sheetViews>
    <sheetView zoomScaleNormal="100" workbookViewId="0">
      <pane ySplit="2" topLeftCell="A3" activePane="bottomLeft" state="frozen"/>
      <selection pane="bottomLeft" activeCell="A3" sqref="A3"/>
    </sheetView>
  </sheetViews>
  <sheetFormatPr defaultRowHeight="15"/>
  <cols>
    <col min="1" max="1" width="11.28515625" style="5" bestFit="1" customWidth="1"/>
    <col min="2" max="2" width="11.5703125" style="5" bestFit="1" customWidth="1"/>
    <col min="3" max="3" width="22" style="5" bestFit="1" customWidth="1"/>
    <col min="4" max="4" width="18.42578125" style="5" bestFit="1" customWidth="1"/>
    <col min="5" max="16384" width="9.140625" style="5"/>
  </cols>
  <sheetData>
    <row r="1" spans="1:3">
      <c r="A1" s="5" t="s">
        <v>91</v>
      </c>
    </row>
    <row r="2" spans="1:3">
      <c r="A2" s="5" t="s">
        <v>40</v>
      </c>
      <c r="B2" s="5" t="s">
        <v>41</v>
      </c>
      <c r="C2" s="5" t="s">
        <v>42</v>
      </c>
    </row>
    <row r="3" spans="1:3">
      <c r="A3" s="5" t="s">
        <v>92</v>
      </c>
      <c r="B3" s="5" t="s">
        <v>94</v>
      </c>
      <c r="C3" s="5" t="str">
        <f>LEFT(B3,3)</f>
        <v>m01</v>
      </c>
    </row>
    <row r="4" spans="1:3">
      <c r="A4" s="5" t="s">
        <v>92</v>
      </c>
      <c r="B4" s="5" t="s">
        <v>95</v>
      </c>
      <c r="C4" s="5" t="str">
        <f t="shared" ref="C4:C14" si="0">LEFT(B4,3)</f>
        <v>m02</v>
      </c>
    </row>
    <row r="5" spans="1:3">
      <c r="A5" s="5" t="s">
        <v>92</v>
      </c>
      <c r="B5" s="5" t="s">
        <v>96</v>
      </c>
      <c r="C5" s="5" t="str">
        <f t="shared" si="0"/>
        <v>m03</v>
      </c>
    </row>
    <row r="6" spans="1:3">
      <c r="A6" s="5" t="s">
        <v>92</v>
      </c>
      <c r="B6" s="5" t="s">
        <v>97</v>
      </c>
      <c r="C6" s="5" t="str">
        <f t="shared" si="0"/>
        <v>m04</v>
      </c>
    </row>
    <row r="7" spans="1:3">
      <c r="A7" s="5" t="s">
        <v>92</v>
      </c>
      <c r="B7" s="5" t="s">
        <v>98</v>
      </c>
      <c r="C7" s="5" t="str">
        <f t="shared" si="0"/>
        <v>m05</v>
      </c>
    </row>
    <row r="8" spans="1:3">
      <c r="A8" s="5" t="s">
        <v>92</v>
      </c>
      <c r="B8" s="5" t="s">
        <v>99</v>
      </c>
      <c r="C8" s="5" t="str">
        <f t="shared" si="0"/>
        <v>m06</v>
      </c>
    </row>
    <row r="9" spans="1:3">
      <c r="A9" s="5" t="s">
        <v>92</v>
      </c>
      <c r="B9" s="5" t="s">
        <v>100</v>
      </c>
      <c r="C9" s="5" t="str">
        <f t="shared" si="0"/>
        <v>m07</v>
      </c>
    </row>
    <row r="10" spans="1:3">
      <c r="A10" s="5" t="s">
        <v>92</v>
      </c>
      <c r="B10" s="5" t="s">
        <v>101</v>
      </c>
      <c r="C10" s="5" t="str">
        <f t="shared" si="0"/>
        <v>m08</v>
      </c>
    </row>
    <row r="11" spans="1:3">
      <c r="A11" s="5" t="s">
        <v>92</v>
      </c>
      <c r="B11" s="5" t="s">
        <v>102</v>
      </c>
      <c r="C11" s="5" t="str">
        <f t="shared" si="0"/>
        <v>m09</v>
      </c>
    </row>
    <row r="12" spans="1:3">
      <c r="A12" s="5" t="s">
        <v>92</v>
      </c>
      <c r="B12" s="5" t="s">
        <v>103</v>
      </c>
      <c r="C12" s="5" t="str">
        <f t="shared" si="0"/>
        <v>m10</v>
      </c>
    </row>
    <row r="13" spans="1:3">
      <c r="A13" s="5" t="s">
        <v>92</v>
      </c>
      <c r="B13" s="5" t="s">
        <v>104</v>
      </c>
      <c r="C13" s="5" t="str">
        <f t="shared" si="0"/>
        <v>m11</v>
      </c>
    </row>
    <row r="14" spans="1:3">
      <c r="A14" s="5" t="s">
        <v>92</v>
      </c>
      <c r="B14" s="5" t="s">
        <v>105</v>
      </c>
      <c r="C14" s="5" t="str">
        <f t="shared" si="0"/>
        <v>m12</v>
      </c>
    </row>
    <row r="15" spans="1:3">
      <c r="A15" s="5" t="s">
        <v>93</v>
      </c>
      <c r="B15" s="5" t="s">
        <v>106</v>
      </c>
      <c r="C15" s="5" t="str">
        <f>RIGHT(B15,3)</f>
        <v>h01</v>
      </c>
    </row>
    <row r="16" spans="1:3">
      <c r="A16" s="5" t="s">
        <v>93</v>
      </c>
      <c r="B16" s="5" t="s">
        <v>107</v>
      </c>
      <c r="C16" s="5" t="str">
        <f t="shared" ref="C16:C38" si="1">RIGHT(B16,3)</f>
        <v>h02</v>
      </c>
    </row>
    <row r="17" spans="1:3">
      <c r="A17" s="5" t="s">
        <v>93</v>
      </c>
      <c r="B17" s="5" t="s">
        <v>108</v>
      </c>
      <c r="C17" s="5" t="str">
        <f t="shared" si="1"/>
        <v>h03</v>
      </c>
    </row>
    <row r="18" spans="1:3">
      <c r="A18" s="5" t="s">
        <v>93</v>
      </c>
      <c r="B18" s="5" t="s">
        <v>109</v>
      </c>
      <c r="C18" s="5" t="str">
        <f t="shared" si="1"/>
        <v>h04</v>
      </c>
    </row>
    <row r="19" spans="1:3">
      <c r="A19" s="5" t="s">
        <v>93</v>
      </c>
      <c r="B19" s="5" t="s">
        <v>110</v>
      </c>
      <c r="C19" s="5" t="str">
        <f t="shared" si="1"/>
        <v>h05</v>
      </c>
    </row>
    <row r="20" spans="1:3">
      <c r="A20" s="5" t="s">
        <v>93</v>
      </c>
      <c r="B20" s="5" t="s">
        <v>111</v>
      </c>
      <c r="C20" s="5" t="str">
        <f t="shared" si="1"/>
        <v>h06</v>
      </c>
    </row>
    <row r="21" spans="1:3">
      <c r="A21" s="5" t="s">
        <v>93</v>
      </c>
      <c r="B21" s="5" t="s">
        <v>112</v>
      </c>
      <c r="C21" s="5" t="str">
        <f t="shared" si="1"/>
        <v>h07</v>
      </c>
    </row>
    <row r="22" spans="1:3">
      <c r="A22" s="5" t="s">
        <v>93</v>
      </c>
      <c r="B22" s="5" t="s">
        <v>113</v>
      </c>
      <c r="C22" s="5" t="str">
        <f t="shared" si="1"/>
        <v>h08</v>
      </c>
    </row>
    <row r="23" spans="1:3">
      <c r="A23" s="5" t="s">
        <v>93</v>
      </c>
      <c r="B23" s="5" t="s">
        <v>114</v>
      </c>
      <c r="C23" s="5" t="str">
        <f t="shared" si="1"/>
        <v>h09</v>
      </c>
    </row>
    <row r="24" spans="1:3">
      <c r="A24" s="5" t="s">
        <v>93</v>
      </c>
      <c r="B24" s="5" t="s">
        <v>115</v>
      </c>
      <c r="C24" s="5" t="str">
        <f t="shared" si="1"/>
        <v>h10</v>
      </c>
    </row>
    <row r="25" spans="1:3">
      <c r="A25" s="5" t="s">
        <v>93</v>
      </c>
      <c r="B25" s="5" t="s">
        <v>116</v>
      </c>
      <c r="C25" s="5" t="str">
        <f t="shared" si="1"/>
        <v>h11</v>
      </c>
    </row>
    <row r="26" spans="1:3">
      <c r="A26" s="5" t="s">
        <v>93</v>
      </c>
      <c r="B26" s="5" t="s">
        <v>117</v>
      </c>
      <c r="C26" s="5" t="str">
        <f t="shared" si="1"/>
        <v>h12</v>
      </c>
    </row>
    <row r="27" spans="1:3">
      <c r="A27" s="5" t="s">
        <v>93</v>
      </c>
      <c r="B27" s="5" t="s">
        <v>118</v>
      </c>
      <c r="C27" s="5" t="str">
        <f t="shared" si="1"/>
        <v>h13</v>
      </c>
    </row>
    <row r="28" spans="1:3">
      <c r="A28" s="5" t="s">
        <v>93</v>
      </c>
      <c r="B28" s="5" t="s">
        <v>119</v>
      </c>
      <c r="C28" s="5" t="str">
        <f t="shared" si="1"/>
        <v>h14</v>
      </c>
    </row>
    <row r="29" spans="1:3">
      <c r="A29" s="5" t="s">
        <v>93</v>
      </c>
      <c r="B29" s="5" t="s">
        <v>120</v>
      </c>
      <c r="C29" s="5" t="str">
        <f t="shared" si="1"/>
        <v>h15</v>
      </c>
    </row>
    <row r="30" spans="1:3">
      <c r="A30" s="5" t="s">
        <v>93</v>
      </c>
      <c r="B30" s="5" t="s">
        <v>121</v>
      </c>
      <c r="C30" s="5" t="str">
        <f t="shared" si="1"/>
        <v>h16</v>
      </c>
    </row>
    <row r="31" spans="1:3">
      <c r="A31" s="5" t="s">
        <v>93</v>
      </c>
      <c r="B31" s="5" t="s">
        <v>122</v>
      </c>
      <c r="C31" s="5" t="str">
        <f t="shared" si="1"/>
        <v>h17</v>
      </c>
    </row>
    <row r="32" spans="1:3">
      <c r="A32" s="5" t="s">
        <v>93</v>
      </c>
      <c r="B32" s="5" t="s">
        <v>123</v>
      </c>
      <c r="C32" s="5" t="str">
        <f t="shared" si="1"/>
        <v>h18</v>
      </c>
    </row>
    <row r="33" spans="1:3">
      <c r="A33" s="5" t="s">
        <v>93</v>
      </c>
      <c r="B33" s="5" t="s">
        <v>124</v>
      </c>
      <c r="C33" s="5" t="str">
        <f t="shared" si="1"/>
        <v>h19</v>
      </c>
    </row>
    <row r="34" spans="1:3">
      <c r="A34" s="5" t="s">
        <v>93</v>
      </c>
      <c r="B34" s="5" t="s">
        <v>125</v>
      </c>
      <c r="C34" s="5" t="str">
        <f t="shared" si="1"/>
        <v>h20</v>
      </c>
    </row>
    <row r="35" spans="1:3">
      <c r="A35" s="5" t="s">
        <v>93</v>
      </c>
      <c r="B35" s="5" t="s">
        <v>126</v>
      </c>
      <c r="C35" s="5" t="str">
        <f t="shared" si="1"/>
        <v>h21</v>
      </c>
    </row>
    <row r="36" spans="1:3">
      <c r="A36" s="5" t="s">
        <v>93</v>
      </c>
      <c r="B36" s="5" t="s">
        <v>127</v>
      </c>
      <c r="C36" s="5" t="str">
        <f t="shared" si="1"/>
        <v>h22</v>
      </c>
    </row>
    <row r="37" spans="1:3">
      <c r="A37" s="5" t="s">
        <v>93</v>
      </c>
      <c r="B37" s="5" t="s">
        <v>128</v>
      </c>
      <c r="C37" s="5" t="str">
        <f t="shared" si="1"/>
        <v>h23</v>
      </c>
    </row>
    <row r="38" spans="1:3">
      <c r="A38" s="5" t="s">
        <v>93</v>
      </c>
      <c r="B38" s="5" t="s">
        <v>129</v>
      </c>
      <c r="C38" s="5" t="str">
        <f t="shared" si="1"/>
        <v>h24</v>
      </c>
    </row>
  </sheetData>
  <phoneticPr fontId="15" type="noConversion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4"/>
  <sheetViews>
    <sheetView workbookViewId="0">
      <selection activeCell="A3" sqref="A3:G14"/>
    </sheetView>
  </sheetViews>
  <sheetFormatPr defaultRowHeight="15"/>
  <cols>
    <col min="4" max="4" width="10.85546875" bestFit="1" customWidth="1"/>
  </cols>
  <sheetData>
    <row r="1" spans="1:7">
      <c r="A1" t="s">
        <v>32</v>
      </c>
    </row>
    <row r="2" spans="1:7">
      <c r="A2" t="s">
        <v>28</v>
      </c>
      <c r="B2" t="s">
        <v>5</v>
      </c>
      <c r="C2" t="s">
        <v>33</v>
      </c>
      <c r="D2" t="s">
        <v>3</v>
      </c>
      <c r="E2" t="s">
        <v>0</v>
      </c>
      <c r="F2" t="s">
        <v>34</v>
      </c>
      <c r="G2" t="s">
        <v>35</v>
      </c>
    </row>
    <row r="3" spans="1:7">
      <c r="F3" s="4"/>
    </row>
    <row r="4" spans="1:7">
      <c r="A4" s="5"/>
      <c r="B4" s="5"/>
      <c r="C4" s="5"/>
      <c r="D4" s="5"/>
      <c r="E4" s="5"/>
      <c r="F4" s="5"/>
      <c r="G4" s="5"/>
    </row>
    <row r="5" spans="1:7">
      <c r="A5" s="5"/>
      <c r="B5" s="5"/>
      <c r="C5" s="5"/>
      <c r="D5" s="5"/>
      <c r="E5" s="5"/>
      <c r="F5" s="5"/>
      <c r="G5" s="5"/>
    </row>
    <row r="6" spans="1:7">
      <c r="A6" s="5"/>
      <c r="B6" s="5"/>
      <c r="C6" s="5"/>
      <c r="D6" s="5"/>
      <c r="E6" s="5"/>
      <c r="F6" s="5"/>
      <c r="G6" s="5"/>
    </row>
    <row r="7" spans="1:7">
      <c r="A7" s="5"/>
      <c r="B7" s="5"/>
      <c r="C7" s="5"/>
      <c r="D7" s="5"/>
      <c r="E7" s="5"/>
      <c r="F7" s="5"/>
      <c r="G7" s="5"/>
    </row>
    <row r="8" spans="1:7">
      <c r="A8" s="5"/>
      <c r="B8" s="5"/>
      <c r="C8" s="5"/>
      <c r="D8" s="5"/>
      <c r="E8" s="5"/>
      <c r="F8" s="5"/>
      <c r="G8" s="5"/>
    </row>
    <row r="9" spans="1:7">
      <c r="A9" s="5"/>
      <c r="B9" s="5"/>
      <c r="C9" s="5"/>
      <c r="D9" s="5"/>
      <c r="E9" s="5"/>
      <c r="F9" s="5"/>
      <c r="G9" s="5"/>
    </row>
    <row r="10" spans="1:7">
      <c r="A10" s="5"/>
      <c r="B10" s="5"/>
      <c r="C10" s="5"/>
      <c r="D10" s="5"/>
      <c r="E10" s="5"/>
      <c r="F10" s="5"/>
      <c r="G10" s="5"/>
    </row>
    <row r="11" spans="1:7">
      <c r="A11" s="5"/>
      <c r="B11" s="5"/>
      <c r="C11" s="5"/>
      <c r="D11" s="5"/>
      <c r="E11" s="5"/>
      <c r="F11" s="5"/>
      <c r="G11" s="5"/>
    </row>
    <row r="12" spans="1:7">
      <c r="A12" s="5"/>
      <c r="B12" s="5"/>
      <c r="C12" s="5"/>
      <c r="D12" s="5"/>
      <c r="E12" s="5"/>
      <c r="F12" s="5"/>
      <c r="G12" s="5"/>
    </row>
    <row r="13" spans="1:7">
      <c r="A13" s="5"/>
      <c r="B13" s="5"/>
      <c r="C13" s="5"/>
      <c r="D13" s="5"/>
      <c r="E13" s="5"/>
      <c r="F13" s="5"/>
      <c r="G13" s="5"/>
    </row>
    <row r="14" spans="1:7">
      <c r="A14" s="5"/>
      <c r="B14" s="5"/>
      <c r="C14" s="5"/>
      <c r="D14" s="5"/>
      <c r="E14" s="5"/>
      <c r="F14" s="5"/>
      <c r="G14" s="5"/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D10"/>
  <sheetViews>
    <sheetView zoomScaleNormal="100" workbookViewId="0">
      <selection activeCell="B11" sqref="B11"/>
    </sheetView>
  </sheetViews>
  <sheetFormatPr defaultRowHeight="15"/>
  <cols>
    <col min="1" max="1" width="9.140625" style="5"/>
    <col min="2" max="2" width="15" style="5" bestFit="1" customWidth="1"/>
    <col min="3" max="3" width="5.85546875" style="5" bestFit="1" customWidth="1"/>
    <col min="4" max="4" width="8" style="5" bestFit="1" customWidth="1"/>
    <col min="5" max="5" width="9.140625" style="5"/>
    <col min="6" max="6" width="2" style="5" bestFit="1" customWidth="1"/>
    <col min="7" max="7" width="12.7109375" style="5" bestFit="1" customWidth="1"/>
    <col min="8" max="8" width="5" style="5" bestFit="1" customWidth="1"/>
    <col min="9" max="9" width="2" style="5" bestFit="1" customWidth="1"/>
    <col min="10" max="10" width="5" style="5" bestFit="1" customWidth="1"/>
    <col min="11" max="16384" width="9.140625" style="5"/>
  </cols>
  <sheetData>
    <row r="1" spans="1:4">
      <c r="A1" s="5" t="s">
        <v>27</v>
      </c>
    </row>
    <row r="2" spans="1:4">
      <c r="A2" s="5" t="s">
        <v>28</v>
      </c>
      <c r="B2" s="1" t="s">
        <v>29</v>
      </c>
      <c r="C2" s="1" t="s">
        <v>30</v>
      </c>
      <c r="D2" s="1" t="s">
        <v>31</v>
      </c>
    </row>
    <row r="3" spans="1:4">
      <c r="A3" s="5" t="s">
        <v>310</v>
      </c>
      <c r="B3" s="5" t="s">
        <v>60</v>
      </c>
      <c r="C3" s="5" t="s">
        <v>55</v>
      </c>
      <c r="D3" s="5">
        <f>1/8.76</f>
        <v>0.11415525114155252</v>
      </c>
    </row>
    <row r="4" spans="1:4">
      <c r="A4" s="5" t="s">
        <v>310</v>
      </c>
      <c r="B4" s="5" t="s">
        <v>89</v>
      </c>
      <c r="C4" s="5" t="s">
        <v>90</v>
      </c>
      <c r="D4" s="5">
        <v>1E-3</v>
      </c>
    </row>
    <row r="5" spans="1:4">
      <c r="A5" s="5" t="s">
        <v>310</v>
      </c>
      <c r="B5" s="5" t="s">
        <v>132</v>
      </c>
      <c r="C5" s="5" t="s">
        <v>55</v>
      </c>
      <c r="D5" s="5">
        <f>-288/8.76</f>
        <v>-32.876712328767127</v>
      </c>
    </row>
    <row r="6" spans="1:4">
      <c r="A6" s="5" t="s">
        <v>310</v>
      </c>
      <c r="B6" s="5" t="s">
        <v>134</v>
      </c>
      <c r="C6" s="5" t="s">
        <v>61</v>
      </c>
      <c r="D6" s="5">
        <v>-1</v>
      </c>
    </row>
    <row r="7" spans="1:4">
      <c r="A7" s="5" t="s">
        <v>310</v>
      </c>
      <c r="B7" s="5" t="s">
        <v>136</v>
      </c>
      <c r="C7" s="5" t="s">
        <v>55</v>
      </c>
      <c r="D7" s="5">
        <f>288/8.76</f>
        <v>32.876712328767127</v>
      </c>
    </row>
    <row r="8" spans="1:4">
      <c r="A8" s="5" t="s">
        <v>310</v>
      </c>
      <c r="B8" s="5" t="s">
        <v>141</v>
      </c>
      <c r="C8" s="5" t="s">
        <v>142</v>
      </c>
      <c r="D8" s="5">
        <v>-1E-3</v>
      </c>
    </row>
    <row r="9" spans="1:4">
      <c r="A9" s="5" t="s">
        <v>310</v>
      </c>
      <c r="B9" s="5" t="s">
        <v>57</v>
      </c>
      <c r="C9" s="5" t="s">
        <v>142</v>
      </c>
      <c r="D9" s="5">
        <v>1E-3</v>
      </c>
    </row>
    <row r="10" spans="1:4">
      <c r="A10" s="5" t="s">
        <v>310</v>
      </c>
      <c r="B10" s="5" t="s">
        <v>311</v>
      </c>
      <c r="C10" s="5" t="s">
        <v>56</v>
      </c>
      <c r="D10" s="5">
        <v>-1</v>
      </c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BE7B7DF-CF6B-46C6-A28F-6AA404EDE044}">
  <ds:schemaRefs>
    <ds:schemaRef ds:uri="http://schemas.microsoft.com/PowerBIAdd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ScenMap</vt:lpstr>
      <vt:lpstr>TS_Defs</vt:lpstr>
      <vt:lpstr>PSet_MAP coarse</vt:lpstr>
      <vt:lpstr>CName_MAP</vt:lpstr>
      <vt:lpstr>process map</vt:lpstr>
      <vt:lpstr>commodity map</vt:lpstr>
      <vt:lpstr>varbl map</vt:lpstr>
      <vt:lpstr>ts map</vt:lpstr>
      <vt:lpstr>ATS</vt:lpstr>
      <vt:lpstr>UnitConv</vt:lpstr>
    </vt:vector>
  </TitlesOfParts>
  <Company>KanORS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Amit Kanudia</dc:creator>
  <cp:lastModifiedBy>Amit Kanudia</cp:lastModifiedBy>
  <cp:lastPrinted>2013-04-26T17:54:26Z</cp:lastPrinted>
  <dcterms:created xsi:type="dcterms:W3CDTF">2011-02-22T06:05:52Z</dcterms:created>
  <dcterms:modified xsi:type="dcterms:W3CDTF">2021-12-04T11:45:27Z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aveCode">
    <vt:r8>618323922157287</vt:r8>
  </property>
</Properties>
</file>